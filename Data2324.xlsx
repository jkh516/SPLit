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search\Sports\SPL RDD\app1\"/>
    </mc:Choice>
  </mc:AlternateContent>
  <xr:revisionPtr revIDLastSave="0" documentId="13_ncr:1_{ADA51280-2F1F-4AA8-8B81-99E5D7EB7FCF}" xr6:coauthVersionLast="47" xr6:coauthVersionMax="47" xr10:uidLastSave="{00000000-0000-0000-0000-000000000000}"/>
  <bookViews>
    <workbookView xWindow="-110" yWindow="-110" windowWidth="19420" windowHeight="10420" activeTab="2" xr2:uid="{729EB4C8-CEE6-4A9A-944F-0E8972518A44}"/>
  </bookViews>
  <sheets>
    <sheet name="Sheet1" sheetId="1" r:id="rId1"/>
    <sheet name="Sheet2" sheetId="2" r:id="rId2"/>
    <sheet name="Sheet3" sheetId="4" r:id="rId3"/>
    <sheet name="Capaciti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5" i="2" l="1"/>
  <c r="L196" i="2"/>
  <c r="L197" i="2"/>
  <c r="L198" i="2"/>
  <c r="L199" i="2"/>
  <c r="L194" i="2"/>
  <c r="M20" i="4"/>
  <c r="N20" i="4" s="1"/>
  <c r="M22" i="4"/>
  <c r="N22" i="4" s="1"/>
  <c r="M24" i="4"/>
  <c r="N24" i="4" s="1"/>
  <c r="M21" i="4"/>
  <c r="N21" i="4" s="1"/>
  <c r="M23" i="4"/>
  <c r="N23" i="4" s="1"/>
  <c r="M25" i="4"/>
  <c r="N25" i="4" s="1"/>
  <c r="M26" i="4"/>
  <c r="N26" i="4" s="1"/>
  <c r="M27" i="4"/>
  <c r="N27" i="4" s="1"/>
  <c r="M30" i="4"/>
  <c r="N30" i="4" s="1"/>
  <c r="M31" i="4"/>
  <c r="N31" i="4" s="1"/>
  <c r="M29" i="4"/>
  <c r="N29" i="4" s="1"/>
  <c r="M28" i="4"/>
  <c r="N28" i="4" s="1"/>
  <c r="M34" i="4"/>
  <c r="N34" i="4" s="1"/>
  <c r="M32" i="4"/>
  <c r="N32" i="4" s="1"/>
  <c r="M33" i="4"/>
  <c r="N33" i="4" s="1"/>
  <c r="M35" i="4"/>
  <c r="N35" i="4" s="1"/>
  <c r="M36" i="4"/>
  <c r="N36" i="4" s="1"/>
  <c r="M37" i="4"/>
  <c r="N37" i="4" s="1"/>
  <c r="M42" i="4"/>
  <c r="N42" i="4" s="1"/>
  <c r="M39" i="4"/>
  <c r="N39" i="4" s="1"/>
  <c r="M40" i="4"/>
  <c r="N40" i="4" s="1"/>
  <c r="M38" i="4"/>
  <c r="N38" i="4" s="1"/>
  <c r="M41" i="4"/>
  <c r="N41" i="4" s="1"/>
  <c r="M43" i="4"/>
  <c r="N43" i="4" s="1"/>
  <c r="M46" i="4"/>
  <c r="N46" i="4" s="1"/>
  <c r="M44" i="4"/>
  <c r="N44" i="4" s="1"/>
  <c r="M47" i="4"/>
  <c r="N47" i="4" s="1"/>
  <c r="M45" i="4"/>
  <c r="N45" i="4" s="1"/>
  <c r="M48" i="4"/>
  <c r="N48" i="4" s="1"/>
  <c r="M49" i="4"/>
  <c r="N49" i="4" s="1"/>
  <c r="M54" i="4"/>
  <c r="N54" i="4" s="1"/>
  <c r="M51" i="4"/>
  <c r="N51" i="4" s="1"/>
  <c r="M52" i="4"/>
  <c r="N52" i="4" s="1"/>
  <c r="M53" i="4"/>
  <c r="N53" i="4" s="1"/>
  <c r="M50" i="4"/>
  <c r="N50" i="4" s="1"/>
  <c r="M55" i="4"/>
  <c r="N55" i="4" s="1"/>
  <c r="M56" i="4"/>
  <c r="N56" i="4" s="1"/>
  <c r="M58" i="4"/>
  <c r="N58" i="4" s="1"/>
  <c r="M57" i="4"/>
  <c r="N57" i="4" s="1"/>
  <c r="M64" i="4"/>
  <c r="N64" i="4" s="1"/>
  <c r="M67" i="4"/>
  <c r="N67" i="4" s="1"/>
  <c r="M62" i="4"/>
  <c r="N62" i="4" s="1"/>
  <c r="M65" i="4"/>
  <c r="N65" i="4" s="1"/>
  <c r="M63" i="4"/>
  <c r="N63" i="4" s="1"/>
  <c r="M66" i="4"/>
  <c r="N66" i="4" s="1"/>
  <c r="M68" i="4"/>
  <c r="N68" i="4" s="1"/>
  <c r="M71" i="4"/>
  <c r="N71" i="4" s="1"/>
  <c r="M69" i="4"/>
  <c r="N69" i="4" s="1"/>
  <c r="M70" i="4"/>
  <c r="N70" i="4" s="1"/>
  <c r="M72" i="4"/>
  <c r="N72" i="4" s="1"/>
  <c r="M73" i="4"/>
  <c r="N73" i="4" s="1"/>
  <c r="M74" i="4"/>
  <c r="N74" i="4" s="1"/>
  <c r="M75" i="4"/>
  <c r="N75" i="4" s="1"/>
  <c r="M77" i="4"/>
  <c r="N77" i="4" s="1"/>
  <c r="M76" i="4"/>
  <c r="N76" i="4" s="1"/>
  <c r="M78" i="4"/>
  <c r="N78" i="4" s="1"/>
  <c r="M79" i="4"/>
  <c r="N79" i="4" s="1"/>
  <c r="M80" i="4"/>
  <c r="N80" i="4" s="1"/>
  <c r="M85" i="4"/>
  <c r="N85" i="4" s="1"/>
  <c r="M81" i="4"/>
  <c r="N81" i="4" s="1"/>
  <c r="M82" i="4"/>
  <c r="N82" i="4" s="1"/>
  <c r="M83" i="4"/>
  <c r="N83" i="4" s="1"/>
  <c r="M84" i="4"/>
  <c r="N84" i="4" s="1"/>
  <c r="M88" i="4"/>
  <c r="N88" i="4" s="1"/>
  <c r="M86" i="4"/>
  <c r="N86" i="4" s="1"/>
  <c r="M87" i="4"/>
  <c r="N87" i="4" s="1"/>
  <c r="M89" i="4"/>
  <c r="N89" i="4" s="1"/>
  <c r="M96" i="4"/>
  <c r="N96" i="4" s="1"/>
  <c r="M95" i="4"/>
  <c r="N95" i="4" s="1"/>
  <c r="M92" i="4"/>
  <c r="N92" i="4" s="1"/>
  <c r="M94" i="4"/>
  <c r="N94" i="4" s="1"/>
  <c r="M97" i="4"/>
  <c r="N97" i="4" s="1"/>
  <c r="M93" i="4"/>
  <c r="N93" i="4" s="1"/>
  <c r="M100" i="4"/>
  <c r="N100" i="4" s="1"/>
  <c r="M98" i="4"/>
  <c r="N98" i="4" s="1"/>
  <c r="M99" i="4"/>
  <c r="N99" i="4" s="1"/>
  <c r="M102" i="4"/>
  <c r="N102" i="4" s="1"/>
  <c r="M101" i="4"/>
  <c r="N101" i="4" s="1"/>
  <c r="M103" i="4"/>
  <c r="N103" i="4" s="1"/>
  <c r="M59" i="4"/>
  <c r="N59" i="4" s="1"/>
  <c r="M104" i="4"/>
  <c r="N104" i="4" s="1"/>
  <c r="M107" i="4"/>
  <c r="N107" i="4" s="1"/>
  <c r="M106" i="4"/>
  <c r="N106" i="4" s="1"/>
  <c r="M105" i="4"/>
  <c r="N105" i="4" s="1"/>
  <c r="M108" i="4"/>
  <c r="N108" i="4" s="1"/>
  <c r="M109" i="4"/>
  <c r="N109" i="4" s="1"/>
  <c r="M90" i="4"/>
  <c r="N90" i="4" s="1"/>
  <c r="M60" i="4"/>
  <c r="N60" i="4" s="1"/>
  <c r="M61" i="4"/>
  <c r="N61" i="4" s="1"/>
  <c r="M113" i="4"/>
  <c r="N113" i="4" s="1"/>
  <c r="M112" i="4"/>
  <c r="N112" i="4" s="1"/>
  <c r="M111" i="4"/>
  <c r="N111" i="4" s="1"/>
  <c r="M110" i="4"/>
  <c r="N110" i="4" s="1"/>
  <c r="M114" i="4"/>
  <c r="N114" i="4" s="1"/>
  <c r="M115" i="4"/>
  <c r="N115" i="4" s="1"/>
  <c r="M116" i="4"/>
  <c r="N116" i="4" s="1"/>
  <c r="M117" i="4"/>
  <c r="N117" i="4" s="1"/>
  <c r="M120" i="4"/>
  <c r="N120" i="4" s="1"/>
  <c r="M121" i="4"/>
  <c r="N121" i="4" s="1"/>
  <c r="M119" i="4"/>
  <c r="N119" i="4" s="1"/>
  <c r="M118" i="4"/>
  <c r="N118" i="4" s="1"/>
  <c r="M122" i="4"/>
  <c r="N122" i="4" s="1"/>
  <c r="M123" i="4"/>
  <c r="N123" i="4" s="1"/>
  <c r="M125" i="4"/>
  <c r="N125" i="4" s="1"/>
  <c r="M124" i="4"/>
  <c r="N124" i="4" s="1"/>
  <c r="M126" i="4"/>
  <c r="N126" i="4" s="1"/>
  <c r="M127" i="4"/>
  <c r="N127" i="4" s="1"/>
  <c r="M129" i="4"/>
  <c r="N129" i="4" s="1"/>
  <c r="M131" i="4"/>
  <c r="N131" i="4" s="1"/>
  <c r="M128" i="4"/>
  <c r="N128" i="4" s="1"/>
  <c r="M132" i="4"/>
  <c r="N132" i="4" s="1"/>
  <c r="M130" i="4"/>
  <c r="N130" i="4" s="1"/>
  <c r="M133" i="4"/>
  <c r="N133" i="4" s="1"/>
  <c r="M135" i="4"/>
  <c r="N135" i="4" s="1"/>
  <c r="M136" i="4"/>
  <c r="N136" i="4" s="1"/>
  <c r="M134" i="4"/>
  <c r="N134" i="4" s="1"/>
  <c r="M137" i="4"/>
  <c r="N137" i="4" s="1"/>
  <c r="M138" i="4"/>
  <c r="N138" i="4" s="1"/>
  <c r="M139" i="4"/>
  <c r="N139" i="4" s="1"/>
  <c r="M91" i="4"/>
  <c r="N91" i="4" s="1"/>
  <c r="M140" i="4"/>
  <c r="N140" i="4" s="1"/>
  <c r="M141" i="4"/>
  <c r="N141" i="4" s="1"/>
  <c r="M142" i="4"/>
  <c r="N142" i="4" s="1"/>
  <c r="M143" i="4"/>
  <c r="N143" i="4" s="1"/>
  <c r="M144" i="4"/>
  <c r="N144" i="4" s="1"/>
  <c r="M145" i="4"/>
  <c r="N145" i="4" s="1"/>
  <c r="M151" i="4"/>
  <c r="N151" i="4" s="1"/>
  <c r="M149" i="4"/>
  <c r="N149" i="4" s="1"/>
  <c r="M147" i="4"/>
  <c r="N147" i="4" s="1"/>
  <c r="M146" i="4"/>
  <c r="N146" i="4" s="1"/>
  <c r="M150" i="4"/>
  <c r="N150" i="4" s="1"/>
  <c r="M148" i="4"/>
  <c r="N148" i="4" s="1"/>
  <c r="M153" i="4"/>
  <c r="N153" i="4" s="1"/>
  <c r="M154" i="4"/>
  <c r="N154" i="4" s="1"/>
  <c r="M155" i="4"/>
  <c r="N155" i="4" s="1"/>
  <c r="M152" i="4"/>
  <c r="N152" i="4" s="1"/>
  <c r="M156" i="4"/>
  <c r="N156" i="4" s="1"/>
  <c r="M157" i="4"/>
  <c r="N157" i="4" s="1"/>
  <c r="M158" i="4"/>
  <c r="N158" i="4" s="1"/>
  <c r="M161" i="4"/>
  <c r="N161" i="4" s="1"/>
  <c r="M159" i="4"/>
  <c r="N159" i="4" s="1"/>
  <c r="M160" i="4"/>
  <c r="N160" i="4" s="1"/>
  <c r="M162" i="4"/>
  <c r="N162" i="4" s="1"/>
  <c r="M163" i="4"/>
  <c r="N163" i="4" s="1"/>
  <c r="M166" i="4"/>
  <c r="N166" i="4" s="1"/>
  <c r="M167" i="4"/>
  <c r="N167" i="4" s="1"/>
  <c r="M164" i="4"/>
  <c r="N164" i="4" s="1"/>
  <c r="M165" i="4"/>
  <c r="N165" i="4" s="1"/>
  <c r="M169" i="4"/>
  <c r="N169" i="4" s="1"/>
  <c r="M168" i="4"/>
  <c r="N168" i="4" s="1"/>
  <c r="M170" i="4"/>
  <c r="N170" i="4" s="1"/>
  <c r="M171" i="4"/>
  <c r="N171" i="4" s="1"/>
  <c r="M174" i="4"/>
  <c r="N174" i="4" s="1"/>
  <c r="M172" i="4"/>
  <c r="N172" i="4" s="1"/>
  <c r="M173" i="4"/>
  <c r="N173" i="4" s="1"/>
  <c r="M175" i="4"/>
  <c r="N175" i="4" s="1"/>
  <c r="M178" i="4"/>
  <c r="N178" i="4" s="1"/>
  <c r="M179" i="4"/>
  <c r="N179" i="4" s="1"/>
  <c r="M177" i="4"/>
  <c r="N177" i="4" s="1"/>
  <c r="M176" i="4"/>
  <c r="N176" i="4" s="1"/>
  <c r="M180" i="4"/>
  <c r="N180" i="4" s="1"/>
  <c r="M181" i="4"/>
  <c r="N181" i="4" s="1"/>
  <c r="M182" i="4"/>
  <c r="N182" i="4" s="1"/>
  <c r="M184" i="4"/>
  <c r="N184" i="4" s="1"/>
  <c r="M186" i="4"/>
  <c r="N186" i="4" s="1"/>
  <c r="M183" i="4"/>
  <c r="N183" i="4" s="1"/>
  <c r="M185" i="4"/>
  <c r="N185" i="4" s="1"/>
  <c r="M187" i="4"/>
  <c r="N187" i="4" s="1"/>
  <c r="M193" i="4"/>
  <c r="N193" i="4" s="1"/>
  <c r="M189" i="4"/>
  <c r="N189" i="4" s="1"/>
  <c r="M191" i="4"/>
  <c r="N191" i="4" s="1"/>
  <c r="M190" i="4"/>
  <c r="N190" i="4" s="1"/>
  <c r="M188" i="4"/>
  <c r="N188" i="4" s="1"/>
  <c r="M192" i="4"/>
  <c r="N192" i="4" s="1"/>
  <c r="M194" i="4"/>
  <c r="N194" i="4" s="1"/>
  <c r="M195" i="4"/>
  <c r="N195" i="4" s="1"/>
  <c r="M198" i="4"/>
  <c r="N198" i="4" s="1"/>
  <c r="M197" i="4"/>
  <c r="N197" i="4" s="1"/>
  <c r="M196" i="4"/>
  <c r="N196" i="4" s="1"/>
  <c r="M199" i="4"/>
  <c r="N199" i="4" s="1"/>
  <c r="M200" i="4"/>
  <c r="N200" i="4" s="1"/>
  <c r="M202" i="4"/>
  <c r="N202" i="4" s="1"/>
  <c r="M203" i="4"/>
  <c r="N203" i="4" s="1"/>
  <c r="M204" i="4"/>
  <c r="N204" i="4" s="1"/>
  <c r="M201" i="4"/>
  <c r="N201" i="4" s="1"/>
  <c r="M205" i="4"/>
  <c r="N205" i="4" s="1"/>
  <c r="M206" i="4"/>
  <c r="N206" i="4" s="1"/>
  <c r="M208" i="4"/>
  <c r="N208" i="4" s="1"/>
  <c r="M207" i="4"/>
  <c r="N207" i="4" s="1"/>
  <c r="M209" i="4"/>
  <c r="N209" i="4" s="1"/>
  <c r="M210" i="4"/>
  <c r="N210" i="4" s="1"/>
  <c r="M211" i="4"/>
  <c r="N211" i="4" s="1"/>
  <c r="M212" i="4"/>
  <c r="N212" i="4" s="1"/>
  <c r="M214" i="4"/>
  <c r="N214" i="4" s="1"/>
  <c r="M213" i="4"/>
  <c r="N213" i="4" s="1"/>
  <c r="M215" i="4"/>
  <c r="N215" i="4" s="1"/>
  <c r="M216" i="4"/>
  <c r="N216" i="4" s="1"/>
  <c r="M217" i="4"/>
  <c r="N217" i="4" s="1"/>
  <c r="M218" i="4"/>
  <c r="N218" i="4" s="1"/>
  <c r="M219" i="4"/>
  <c r="N219" i="4" s="1"/>
  <c r="M220" i="4"/>
  <c r="N220" i="4" s="1"/>
  <c r="M221" i="4"/>
  <c r="N221" i="4" s="1"/>
  <c r="M222" i="4"/>
  <c r="N222" i="4" s="1"/>
  <c r="M223" i="4"/>
  <c r="N223" i="4" s="1"/>
  <c r="M226" i="4"/>
  <c r="N226" i="4" s="1"/>
  <c r="M225" i="4"/>
  <c r="N225" i="4" s="1"/>
  <c r="M224" i="4"/>
  <c r="N224" i="4" s="1"/>
  <c r="M229" i="4"/>
  <c r="N229" i="4" s="1"/>
  <c r="M227" i="4"/>
  <c r="N227" i="4" s="1"/>
  <c r="M228" i="4"/>
  <c r="N228" i="4" s="1"/>
  <c r="M4" i="4"/>
  <c r="N4" i="4" s="1"/>
  <c r="M5" i="4"/>
  <c r="N5" i="4" s="1"/>
  <c r="M3" i="4"/>
  <c r="N3" i="4" s="1"/>
  <c r="M6" i="4"/>
  <c r="N6" i="4" s="1"/>
  <c r="M7" i="4"/>
  <c r="N7" i="4" s="1"/>
  <c r="M8" i="4"/>
  <c r="N8" i="4" s="1"/>
  <c r="M11" i="4"/>
  <c r="N11" i="4" s="1"/>
  <c r="M10" i="4"/>
  <c r="N10" i="4" s="1"/>
  <c r="M9" i="4"/>
  <c r="N9" i="4" s="1"/>
  <c r="M12" i="4"/>
  <c r="N12" i="4" s="1"/>
  <c r="M13" i="4"/>
  <c r="N13" i="4" s="1"/>
  <c r="M14" i="4"/>
  <c r="N14" i="4" s="1"/>
  <c r="M17" i="4"/>
  <c r="N17" i="4" s="1"/>
  <c r="M16" i="4"/>
  <c r="N16" i="4" s="1"/>
  <c r="M15" i="4"/>
  <c r="N15" i="4" s="1"/>
  <c r="M18" i="4"/>
  <c r="N18" i="4" s="1"/>
  <c r="M19" i="4"/>
  <c r="N19" i="4" s="1"/>
  <c r="M2" i="4"/>
  <c r="N2" i="4" s="1"/>
  <c r="L202" i="4"/>
  <c r="L203" i="4"/>
  <c r="L204" i="4"/>
  <c r="L201" i="4"/>
  <c r="L205" i="4"/>
  <c r="L206" i="4"/>
  <c r="L208" i="4"/>
  <c r="L207" i="4"/>
  <c r="L209" i="4"/>
  <c r="L210" i="4"/>
  <c r="L211" i="4"/>
  <c r="L212" i="4"/>
  <c r="L214" i="4"/>
  <c r="L213" i="4"/>
  <c r="L215" i="4"/>
  <c r="L216" i="4"/>
  <c r="L217" i="4"/>
  <c r="L218" i="4"/>
  <c r="L219" i="4"/>
  <c r="L220" i="4"/>
  <c r="L221" i="4"/>
  <c r="L222" i="4"/>
  <c r="L223" i="4"/>
  <c r="L226" i="4"/>
  <c r="L225" i="4"/>
  <c r="L224" i="4"/>
  <c r="L229" i="4"/>
  <c r="L227" i="4"/>
  <c r="L228" i="4"/>
  <c r="L200" i="4"/>
  <c r="L4" i="4"/>
  <c r="L5" i="4"/>
  <c r="L3" i="4"/>
  <c r="L6" i="4"/>
  <c r="L7" i="4"/>
  <c r="L8" i="4"/>
  <c r="L11" i="4"/>
  <c r="L10" i="4"/>
  <c r="L9" i="4"/>
  <c r="L12" i="4"/>
  <c r="L13" i="4"/>
  <c r="L14" i="4"/>
  <c r="L17" i="4"/>
  <c r="L16" i="4"/>
  <c r="L15" i="4"/>
  <c r="L18" i="4"/>
  <c r="L19" i="4"/>
  <c r="L20" i="4"/>
  <c r="L22" i="4"/>
  <c r="L24" i="4"/>
  <c r="L21" i="4"/>
  <c r="L23" i="4"/>
  <c r="L25" i="4"/>
  <c r="L26" i="4"/>
  <c r="L27" i="4"/>
  <c r="L30" i="4"/>
  <c r="L31" i="4"/>
  <c r="L29" i="4"/>
  <c r="L28" i="4"/>
  <c r="L34" i="4"/>
  <c r="L32" i="4"/>
  <c r="L33" i="4"/>
  <c r="L35" i="4"/>
  <c r="L36" i="4"/>
  <c r="L37" i="4"/>
  <c r="L42" i="4"/>
  <c r="L39" i="4"/>
  <c r="L40" i="4"/>
  <c r="L38" i="4"/>
  <c r="L41" i="4"/>
  <c r="L43" i="4"/>
  <c r="L46" i="4"/>
  <c r="L44" i="4"/>
  <c r="L47" i="4"/>
  <c r="L45" i="4"/>
  <c r="L48" i="4"/>
  <c r="L49" i="4"/>
  <c r="L54" i="4"/>
  <c r="L51" i="4"/>
  <c r="L52" i="4"/>
  <c r="L53" i="4"/>
  <c r="L50" i="4"/>
  <c r="L55" i="4"/>
  <c r="L56" i="4"/>
  <c r="L58" i="4"/>
  <c r="L57" i="4"/>
  <c r="L64" i="4"/>
  <c r="L67" i="4"/>
  <c r="L62" i="4"/>
  <c r="L65" i="4"/>
  <c r="L63" i="4"/>
  <c r="L66" i="4"/>
  <c r="L68" i="4"/>
  <c r="L71" i="4"/>
  <c r="L69" i="4"/>
  <c r="L70" i="4"/>
  <c r="L72" i="4"/>
  <c r="L73" i="4"/>
  <c r="L74" i="4"/>
  <c r="L75" i="4"/>
  <c r="L77" i="4"/>
  <c r="L76" i="4"/>
  <c r="L78" i="4"/>
  <c r="L79" i="4"/>
  <c r="L80" i="4"/>
  <c r="L85" i="4"/>
  <c r="L81" i="4"/>
  <c r="L82" i="4"/>
  <c r="L83" i="4"/>
  <c r="L84" i="4"/>
  <c r="L88" i="4"/>
  <c r="L86" i="4"/>
  <c r="L87" i="4"/>
  <c r="L89" i="4"/>
  <c r="L96" i="4"/>
  <c r="L95" i="4"/>
  <c r="L92" i="4"/>
  <c r="L94" i="4"/>
  <c r="L97" i="4"/>
  <c r="L93" i="4"/>
  <c r="L100" i="4"/>
  <c r="L98" i="4"/>
  <c r="L99" i="4"/>
  <c r="L102" i="4"/>
  <c r="L101" i="4"/>
  <c r="L103" i="4"/>
  <c r="L59" i="4"/>
  <c r="L104" i="4"/>
  <c r="L107" i="4"/>
  <c r="L106" i="4"/>
  <c r="L105" i="4"/>
  <c r="L108" i="4"/>
  <c r="L109" i="4"/>
  <c r="L90" i="4"/>
  <c r="L60" i="4"/>
  <c r="L61" i="4"/>
  <c r="L113" i="4"/>
  <c r="L112" i="4"/>
  <c r="L111" i="4"/>
  <c r="L110" i="4"/>
  <c r="L114" i="4"/>
  <c r="L115" i="4"/>
  <c r="L116" i="4"/>
  <c r="L117" i="4"/>
  <c r="L120" i="4"/>
  <c r="L121" i="4"/>
  <c r="L119" i="4"/>
  <c r="L118" i="4"/>
  <c r="L122" i="4"/>
  <c r="L123" i="4"/>
  <c r="L125" i="4"/>
  <c r="L124" i="4"/>
  <c r="L126" i="4"/>
  <c r="L127" i="4"/>
  <c r="L129" i="4"/>
  <c r="L131" i="4"/>
  <c r="L128" i="4"/>
  <c r="L132" i="4"/>
  <c r="L130" i="4"/>
  <c r="L133" i="4"/>
  <c r="L135" i="4"/>
  <c r="L136" i="4"/>
  <c r="L134" i="4"/>
  <c r="L137" i="4"/>
  <c r="L138" i="4"/>
  <c r="L139" i="4"/>
  <c r="L91" i="4"/>
  <c r="L140" i="4"/>
  <c r="L141" i="4"/>
  <c r="L142" i="4"/>
  <c r="L143" i="4"/>
  <c r="L144" i="4"/>
  <c r="L145" i="4"/>
  <c r="L151" i="4"/>
  <c r="L149" i="4"/>
  <c r="L147" i="4"/>
  <c r="L146" i="4"/>
  <c r="L150" i="4"/>
  <c r="L148" i="4"/>
  <c r="L153" i="4"/>
  <c r="L154" i="4"/>
  <c r="L155" i="4"/>
  <c r="L152" i="4"/>
  <c r="L156" i="4"/>
  <c r="L157" i="4"/>
  <c r="L158" i="4"/>
  <c r="L161" i="4"/>
  <c r="L159" i="4"/>
  <c r="L160" i="4"/>
  <c r="L162" i="4"/>
  <c r="L163" i="4"/>
  <c r="L166" i="4"/>
  <c r="L167" i="4"/>
  <c r="L164" i="4"/>
  <c r="L165" i="4"/>
  <c r="L169" i="4"/>
  <c r="L168" i="4"/>
  <c r="L170" i="4"/>
  <c r="L171" i="4"/>
  <c r="L174" i="4"/>
  <c r="L172" i="4"/>
  <c r="L173" i="4"/>
  <c r="L175" i="4"/>
  <c r="L178" i="4"/>
  <c r="L179" i="4"/>
  <c r="L177" i="4"/>
  <c r="L176" i="4"/>
  <c r="L180" i="4"/>
  <c r="L181" i="4"/>
  <c r="L182" i="4"/>
  <c r="L184" i="4"/>
  <c r="L186" i="4"/>
  <c r="L183" i="4"/>
  <c r="L185" i="4"/>
  <c r="L187" i="4"/>
  <c r="L193" i="4"/>
  <c r="L189" i="4"/>
  <c r="L191" i="4"/>
  <c r="L190" i="4"/>
  <c r="L188" i="4"/>
  <c r="L192" i="4"/>
  <c r="L194" i="4"/>
  <c r="L195" i="4"/>
  <c r="L198" i="4"/>
  <c r="L197" i="4"/>
  <c r="L196" i="4"/>
  <c r="L199" i="4"/>
  <c r="M2" i="2"/>
  <c r="N2" i="2" s="1"/>
  <c r="L2" i="4"/>
  <c r="N224" i="2"/>
  <c r="N225" i="2"/>
  <c r="N226" i="2"/>
  <c r="N227" i="2"/>
  <c r="N228" i="2"/>
  <c r="N229" i="2"/>
  <c r="M224" i="2"/>
  <c r="M225" i="2"/>
  <c r="M226" i="2"/>
  <c r="M227" i="2"/>
  <c r="M228" i="2"/>
  <c r="M229" i="2"/>
  <c r="L224" i="2"/>
  <c r="L225" i="2"/>
  <c r="L226" i="2"/>
  <c r="L227" i="2"/>
  <c r="L228" i="2"/>
  <c r="L229" i="2"/>
  <c r="M4" i="2"/>
  <c r="N4" i="2" s="1"/>
  <c r="M3" i="2"/>
  <c r="N3" i="2" s="1"/>
  <c r="M5" i="2"/>
  <c r="N5" i="2" s="1"/>
  <c r="M6" i="2"/>
  <c r="N6" i="2" s="1"/>
  <c r="M7" i="2"/>
  <c r="N7" i="2" s="1"/>
  <c r="M11" i="2"/>
  <c r="N11" i="2" s="1"/>
  <c r="M9" i="2"/>
  <c r="N9" i="2" s="1"/>
  <c r="M8" i="2"/>
  <c r="N8" i="2" s="1"/>
  <c r="M10" i="2"/>
  <c r="N10" i="2" s="1"/>
  <c r="M12" i="2"/>
  <c r="N12" i="2" s="1"/>
  <c r="M13" i="2"/>
  <c r="N13" i="2" s="1"/>
  <c r="M14" i="2"/>
  <c r="N14" i="2" s="1"/>
  <c r="M16" i="2"/>
  <c r="N16" i="2" s="1"/>
  <c r="M17" i="2"/>
  <c r="N17" i="2" s="1"/>
  <c r="M15" i="2"/>
  <c r="N15" i="2" s="1"/>
  <c r="M18" i="2"/>
  <c r="N18" i="2" s="1"/>
  <c r="M19" i="2"/>
  <c r="N19" i="2" s="1"/>
  <c r="M20" i="2"/>
  <c r="N20" i="2" s="1"/>
  <c r="M23" i="2"/>
  <c r="N23" i="2" s="1"/>
  <c r="M22" i="2"/>
  <c r="N22" i="2" s="1"/>
  <c r="M21" i="2"/>
  <c r="N21" i="2" s="1"/>
  <c r="M24" i="2"/>
  <c r="N24" i="2" s="1"/>
  <c r="M25" i="2"/>
  <c r="N25" i="2" s="1"/>
  <c r="M26" i="2"/>
  <c r="N26" i="2" s="1"/>
  <c r="M28" i="2"/>
  <c r="N28" i="2" s="1"/>
  <c r="M31" i="2"/>
  <c r="N31" i="2" s="1"/>
  <c r="M27" i="2"/>
  <c r="N27" i="2" s="1"/>
  <c r="M29" i="2"/>
  <c r="N29" i="2" s="1"/>
  <c r="M30" i="2"/>
  <c r="N30" i="2" s="1"/>
  <c r="M40" i="2"/>
  <c r="N40" i="2" s="1"/>
  <c r="M38" i="2"/>
  <c r="N38" i="2" s="1"/>
  <c r="M39" i="2"/>
  <c r="N39" i="2" s="1"/>
  <c r="M41" i="2"/>
  <c r="N41" i="2" s="1"/>
  <c r="M42" i="2"/>
  <c r="N42" i="2" s="1"/>
  <c r="M43" i="2"/>
  <c r="N43" i="2" s="1"/>
  <c r="M44" i="2"/>
  <c r="N44" i="2" s="1"/>
  <c r="M47" i="2"/>
  <c r="N47" i="2" s="1"/>
  <c r="M49" i="2"/>
  <c r="N49" i="2" s="1"/>
  <c r="M46" i="2"/>
  <c r="N46" i="2" s="1"/>
  <c r="M48" i="2"/>
  <c r="N48" i="2" s="1"/>
  <c r="M45" i="2"/>
  <c r="N45" i="2" s="1"/>
  <c r="M32" i="2"/>
  <c r="N32" i="2" s="1"/>
  <c r="M33" i="2"/>
  <c r="N33" i="2" s="1"/>
  <c r="M50" i="2"/>
  <c r="N50" i="2" s="1"/>
  <c r="M53" i="2"/>
  <c r="N53" i="2" s="1"/>
  <c r="M52" i="2"/>
  <c r="N52" i="2" s="1"/>
  <c r="M51" i="2"/>
  <c r="N51" i="2" s="1"/>
  <c r="M54" i="2"/>
  <c r="N54" i="2" s="1"/>
  <c r="M55" i="2"/>
  <c r="N55" i="2" s="1"/>
  <c r="M34" i="2"/>
  <c r="N34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6" i="2"/>
  <c r="N66" i="2" s="1"/>
  <c r="M65" i="2"/>
  <c r="N65" i="2" s="1"/>
  <c r="M67" i="2"/>
  <c r="N67" i="2" s="1"/>
  <c r="M68" i="2"/>
  <c r="N68" i="2" s="1"/>
  <c r="M69" i="2"/>
  <c r="N69" i="2" s="1"/>
  <c r="M71" i="2"/>
  <c r="N71" i="2" s="1"/>
  <c r="M70" i="2"/>
  <c r="N70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1" i="2"/>
  <c r="N81" i="2" s="1"/>
  <c r="M80" i="2"/>
  <c r="N80" i="2" s="1"/>
  <c r="M82" i="2"/>
  <c r="N82" i="2" s="1"/>
  <c r="M83" i="2"/>
  <c r="N83" i="2" s="1"/>
  <c r="M84" i="2"/>
  <c r="N84" i="2" s="1"/>
  <c r="M85" i="2"/>
  <c r="N85" i="2" s="1"/>
  <c r="M86" i="2"/>
  <c r="N86" i="2" s="1"/>
  <c r="M90" i="2"/>
  <c r="N90" i="2" s="1"/>
  <c r="M88" i="2"/>
  <c r="N88" i="2" s="1"/>
  <c r="M89" i="2"/>
  <c r="N89" i="2" s="1"/>
  <c r="M87" i="2"/>
  <c r="N87" i="2" s="1"/>
  <c r="M91" i="2"/>
  <c r="N91" i="2" s="1"/>
  <c r="M92" i="2"/>
  <c r="N92" i="2" s="1"/>
  <c r="M93" i="2"/>
  <c r="N93" i="2" s="1"/>
  <c r="M94" i="2"/>
  <c r="N94" i="2" s="1"/>
  <c r="M95" i="2"/>
  <c r="N95" i="2" s="1"/>
  <c r="M35" i="2"/>
  <c r="N35" i="2" s="1"/>
  <c r="M36" i="2"/>
  <c r="N36" i="2" s="1"/>
  <c r="M98" i="2"/>
  <c r="N98" i="2" s="1"/>
  <c r="M99" i="2"/>
  <c r="N99" i="2" s="1"/>
  <c r="M100" i="2"/>
  <c r="N100" i="2" s="1"/>
  <c r="M101" i="2"/>
  <c r="N101" i="2" s="1"/>
  <c r="M103" i="2"/>
  <c r="N103" i="2" s="1"/>
  <c r="M102" i="2"/>
  <c r="N102" i="2" s="1"/>
  <c r="M108" i="2"/>
  <c r="N108" i="2" s="1"/>
  <c r="M104" i="2"/>
  <c r="N104" i="2" s="1"/>
  <c r="M106" i="2"/>
  <c r="N106" i="2" s="1"/>
  <c r="M105" i="2"/>
  <c r="N105" i="2" s="1"/>
  <c r="M107" i="2"/>
  <c r="N107" i="2" s="1"/>
  <c r="M109" i="2"/>
  <c r="N109" i="2" s="1"/>
  <c r="M110" i="2"/>
  <c r="N110" i="2" s="1"/>
  <c r="M112" i="2"/>
  <c r="N112" i="2" s="1"/>
  <c r="M114" i="2"/>
  <c r="N114" i="2" s="1"/>
  <c r="M111" i="2"/>
  <c r="N111" i="2" s="1"/>
  <c r="M115" i="2"/>
  <c r="N115" i="2" s="1"/>
  <c r="M113" i="2"/>
  <c r="N113" i="2" s="1"/>
  <c r="M116" i="2"/>
  <c r="N116" i="2" s="1"/>
  <c r="M118" i="2"/>
  <c r="N118" i="2" s="1"/>
  <c r="M117" i="2"/>
  <c r="N117" i="2" s="1"/>
  <c r="M119" i="2"/>
  <c r="N119" i="2" s="1"/>
  <c r="M120" i="2"/>
  <c r="N120" i="2" s="1"/>
  <c r="M121" i="2"/>
  <c r="N121" i="2" s="1"/>
  <c r="M37" i="2"/>
  <c r="N37" i="2" s="1"/>
  <c r="M122" i="2"/>
  <c r="N122" i="2" s="1"/>
  <c r="M123" i="2"/>
  <c r="N123" i="2" s="1"/>
  <c r="M124" i="2"/>
  <c r="N124" i="2" s="1"/>
  <c r="M126" i="2"/>
  <c r="N126" i="2" s="1"/>
  <c r="M125" i="2"/>
  <c r="N125" i="2" s="1"/>
  <c r="M127" i="2"/>
  <c r="N127" i="2" s="1"/>
  <c r="M129" i="2"/>
  <c r="N129" i="2" s="1"/>
  <c r="M130" i="2"/>
  <c r="N130" i="2" s="1"/>
  <c r="M131" i="2"/>
  <c r="N131" i="2" s="1"/>
  <c r="M128" i="2"/>
  <c r="N128" i="2" s="1"/>
  <c r="M132" i="2"/>
  <c r="N132" i="2" s="1"/>
  <c r="M133" i="2"/>
  <c r="N133" i="2" s="1"/>
  <c r="M134" i="2"/>
  <c r="N134" i="2" s="1"/>
  <c r="M138" i="2"/>
  <c r="N138" i="2" s="1"/>
  <c r="M137" i="2"/>
  <c r="N137" i="2" s="1"/>
  <c r="M135" i="2"/>
  <c r="N135" i="2" s="1"/>
  <c r="M139" i="2"/>
  <c r="N139" i="2" s="1"/>
  <c r="M136" i="2"/>
  <c r="N136" i="2" s="1"/>
  <c r="M143" i="2"/>
  <c r="N143" i="2" s="1"/>
  <c r="M141" i="2"/>
  <c r="N141" i="2" s="1"/>
  <c r="M144" i="2"/>
  <c r="N144" i="2" s="1"/>
  <c r="M142" i="2"/>
  <c r="N142" i="2" s="1"/>
  <c r="M140" i="2"/>
  <c r="N140" i="2" s="1"/>
  <c r="M145" i="2"/>
  <c r="N145" i="2" s="1"/>
  <c r="M96" i="2"/>
  <c r="N96" i="2" s="1"/>
  <c r="M147" i="2"/>
  <c r="N147" i="2" s="1"/>
  <c r="M146" i="2"/>
  <c r="N146" i="2" s="1"/>
  <c r="M149" i="2"/>
  <c r="N149" i="2" s="1"/>
  <c r="M150" i="2"/>
  <c r="N150" i="2" s="1"/>
  <c r="M148" i="2"/>
  <c r="N148" i="2" s="1"/>
  <c r="M151" i="2"/>
  <c r="N151" i="2" s="1"/>
  <c r="M155" i="2"/>
  <c r="N155" i="2" s="1"/>
  <c r="M152" i="2"/>
  <c r="N152" i="2" s="1"/>
  <c r="M153" i="2"/>
  <c r="N153" i="2" s="1"/>
  <c r="M154" i="2"/>
  <c r="N154" i="2" s="1"/>
  <c r="M161" i="2"/>
  <c r="N161" i="2" s="1"/>
  <c r="M159" i="2"/>
  <c r="N159" i="2" s="1"/>
  <c r="M160" i="2"/>
  <c r="N160" i="2" s="1"/>
  <c r="M158" i="2"/>
  <c r="N158" i="2" s="1"/>
  <c r="M162" i="2"/>
  <c r="N162" i="2" s="1"/>
  <c r="M163" i="2"/>
  <c r="N163" i="2" s="1"/>
  <c r="M97" i="2"/>
  <c r="N97" i="2" s="1"/>
  <c r="M156" i="2"/>
  <c r="N156" i="2" s="1"/>
  <c r="M157" i="2"/>
  <c r="N157" i="2" s="1"/>
  <c r="M164" i="2"/>
  <c r="N164" i="2" s="1"/>
  <c r="M166" i="2"/>
  <c r="N166" i="2" s="1"/>
  <c r="M165" i="2"/>
  <c r="N165" i="2" s="1"/>
  <c r="M168" i="2"/>
  <c r="N168" i="2" s="1"/>
  <c r="M169" i="2"/>
  <c r="N169" i="2" s="1"/>
  <c r="M167" i="2"/>
  <c r="N167" i="2" s="1"/>
  <c r="M173" i="2"/>
  <c r="N173" i="2" s="1"/>
  <c r="M174" i="2"/>
  <c r="N174" i="2" s="1"/>
  <c r="M170" i="2"/>
  <c r="N170" i="2" s="1"/>
  <c r="M171" i="2"/>
  <c r="N171" i="2" s="1"/>
  <c r="M172" i="2"/>
  <c r="N172" i="2" s="1"/>
  <c r="M175" i="2"/>
  <c r="N175" i="2" s="1"/>
  <c r="M176" i="2"/>
  <c r="N176" i="2" s="1"/>
  <c r="M180" i="2"/>
  <c r="N180" i="2" s="1"/>
  <c r="M177" i="2"/>
  <c r="N177" i="2" s="1"/>
  <c r="M179" i="2"/>
  <c r="N179" i="2" s="1"/>
  <c r="M178" i="2"/>
  <c r="N178" i="2" s="1"/>
  <c r="M181" i="2"/>
  <c r="N181" i="2" s="1"/>
  <c r="M182" i="2"/>
  <c r="N182" i="2" s="1"/>
  <c r="M183" i="2"/>
  <c r="N183" i="2" s="1"/>
  <c r="M186" i="2"/>
  <c r="N186" i="2" s="1"/>
  <c r="M185" i="2"/>
  <c r="N185" i="2" s="1"/>
  <c r="M184" i="2"/>
  <c r="N184" i="2" s="1"/>
  <c r="M187" i="2"/>
  <c r="N187" i="2" s="1"/>
  <c r="M188" i="2"/>
  <c r="N188" i="2" s="1"/>
  <c r="M192" i="2"/>
  <c r="N192" i="2" s="1"/>
  <c r="M189" i="2"/>
  <c r="N189" i="2" s="1"/>
  <c r="M191" i="2"/>
  <c r="N191" i="2" s="1"/>
  <c r="M190" i="2"/>
  <c r="N190" i="2" s="1"/>
  <c r="M193" i="2"/>
  <c r="N193" i="2" s="1"/>
  <c r="M194" i="2"/>
  <c r="N194" i="2" s="1"/>
  <c r="M196" i="2"/>
  <c r="N196" i="2" s="1"/>
  <c r="M197" i="2"/>
  <c r="N197" i="2" s="1"/>
  <c r="M195" i="2"/>
  <c r="N195" i="2" s="1"/>
  <c r="M198" i="2"/>
  <c r="N198" i="2" s="1"/>
  <c r="M199" i="2"/>
  <c r="N199" i="2" s="1"/>
  <c r="M200" i="2"/>
  <c r="N200" i="2" s="1"/>
  <c r="M205" i="2"/>
  <c r="N205" i="2" s="1"/>
  <c r="M201" i="2"/>
  <c r="N201" i="2" s="1"/>
  <c r="M202" i="2"/>
  <c r="N202" i="2" s="1"/>
  <c r="M203" i="2"/>
  <c r="N203" i="2" s="1"/>
  <c r="M204" i="2"/>
  <c r="N204" i="2" s="1"/>
  <c r="M206" i="2"/>
  <c r="N206" i="2" s="1"/>
  <c r="M207" i="2"/>
  <c r="N207" i="2" s="1"/>
  <c r="M208" i="2"/>
  <c r="N208" i="2" s="1"/>
  <c r="M209" i="2"/>
  <c r="N209" i="2" s="1"/>
  <c r="M210" i="2"/>
  <c r="N210" i="2" s="1"/>
  <c r="M211" i="2"/>
  <c r="N211" i="2" s="1"/>
  <c r="M212" i="2"/>
  <c r="N212" i="2" s="1"/>
  <c r="M216" i="2"/>
  <c r="N216" i="2" s="1"/>
  <c r="M214" i="2"/>
  <c r="N214" i="2" s="1"/>
  <c r="M213" i="2"/>
  <c r="N213" i="2" s="1"/>
  <c r="M215" i="2"/>
  <c r="N215" i="2" s="1"/>
  <c r="M217" i="2"/>
  <c r="N217" i="2" s="1"/>
  <c r="M218" i="2"/>
  <c r="N218" i="2" s="1"/>
  <c r="M220" i="2"/>
  <c r="N220" i="2" s="1"/>
  <c r="M219" i="2"/>
  <c r="N219" i="2" s="1"/>
  <c r="M222" i="2"/>
  <c r="N222" i="2" s="1"/>
  <c r="M223" i="2"/>
  <c r="N223" i="2" s="1"/>
  <c r="M221" i="2"/>
  <c r="N221" i="2" s="1"/>
  <c r="L200" i="2"/>
  <c r="L205" i="2"/>
  <c r="L201" i="2"/>
  <c r="L202" i="2"/>
  <c r="L203" i="2"/>
  <c r="L204" i="2"/>
  <c r="L206" i="2"/>
  <c r="L207" i="2"/>
  <c r="L208" i="2"/>
  <c r="L209" i="2"/>
  <c r="L210" i="2"/>
  <c r="L211" i="2"/>
  <c r="L212" i="2"/>
  <c r="L216" i="2"/>
  <c r="L214" i="2"/>
  <c r="L213" i="2"/>
  <c r="L215" i="2"/>
  <c r="L217" i="2"/>
  <c r="L218" i="2"/>
  <c r="L220" i="2"/>
  <c r="L219" i="2"/>
  <c r="L222" i="2"/>
  <c r="L223" i="2"/>
  <c r="L221" i="2"/>
  <c r="L4" i="2"/>
  <c r="L3" i="2"/>
  <c r="L5" i="2"/>
  <c r="L6" i="2"/>
  <c r="L7" i="2"/>
  <c r="L11" i="2"/>
  <c r="L9" i="2"/>
  <c r="L8" i="2"/>
  <c r="L10" i="2"/>
  <c r="L12" i="2"/>
  <c r="L13" i="2"/>
  <c r="L14" i="2"/>
  <c r="L16" i="2"/>
  <c r="L17" i="2"/>
  <c r="L15" i="2"/>
  <c r="L18" i="2"/>
  <c r="L19" i="2"/>
  <c r="L20" i="2"/>
  <c r="L23" i="2"/>
  <c r="L22" i="2"/>
  <c r="L21" i="2"/>
  <c r="L24" i="2"/>
  <c r="L25" i="2"/>
  <c r="L26" i="2"/>
  <c r="L28" i="2"/>
  <c r="L31" i="2"/>
  <c r="L27" i="2"/>
  <c r="L29" i="2"/>
  <c r="L30" i="2"/>
  <c r="L40" i="2"/>
  <c r="L38" i="2"/>
  <c r="L39" i="2"/>
  <c r="L41" i="2"/>
  <c r="L42" i="2"/>
  <c r="L43" i="2"/>
  <c r="L44" i="2"/>
  <c r="L47" i="2"/>
  <c r="L49" i="2"/>
  <c r="L46" i="2"/>
  <c r="L48" i="2"/>
  <c r="L45" i="2"/>
  <c r="L32" i="2"/>
  <c r="L33" i="2"/>
  <c r="L50" i="2"/>
  <c r="L53" i="2"/>
  <c r="L52" i="2"/>
  <c r="L51" i="2"/>
  <c r="L54" i="2"/>
  <c r="L55" i="2"/>
  <c r="L34" i="2"/>
  <c r="L56" i="2"/>
  <c r="L57" i="2"/>
  <c r="L58" i="2"/>
  <c r="L59" i="2"/>
  <c r="L60" i="2"/>
  <c r="L61" i="2"/>
  <c r="L62" i="2"/>
  <c r="L63" i="2"/>
  <c r="L64" i="2"/>
  <c r="L66" i="2"/>
  <c r="L65" i="2"/>
  <c r="L67" i="2"/>
  <c r="L68" i="2"/>
  <c r="L69" i="2"/>
  <c r="L71" i="2"/>
  <c r="L70" i="2"/>
  <c r="L72" i="2"/>
  <c r="L73" i="2"/>
  <c r="L74" i="2"/>
  <c r="L75" i="2"/>
  <c r="L76" i="2"/>
  <c r="L77" i="2"/>
  <c r="L78" i="2"/>
  <c r="L79" i="2"/>
  <c r="L81" i="2"/>
  <c r="L80" i="2"/>
  <c r="L82" i="2"/>
  <c r="L83" i="2"/>
  <c r="L84" i="2"/>
  <c r="L85" i="2"/>
  <c r="L86" i="2"/>
  <c r="L90" i="2"/>
  <c r="L88" i="2"/>
  <c r="L89" i="2"/>
  <c r="L87" i="2"/>
  <c r="L91" i="2"/>
  <c r="L92" i="2"/>
  <c r="L93" i="2"/>
  <c r="L94" i="2"/>
  <c r="L95" i="2"/>
  <c r="L35" i="2"/>
  <c r="L36" i="2"/>
  <c r="L98" i="2"/>
  <c r="L99" i="2"/>
  <c r="L100" i="2"/>
  <c r="L101" i="2"/>
  <c r="L103" i="2"/>
  <c r="L102" i="2"/>
  <c r="L108" i="2"/>
  <c r="L104" i="2"/>
  <c r="L106" i="2"/>
  <c r="L105" i="2"/>
  <c r="L107" i="2"/>
  <c r="L109" i="2"/>
  <c r="L110" i="2"/>
  <c r="L112" i="2"/>
  <c r="L114" i="2"/>
  <c r="L111" i="2"/>
  <c r="L115" i="2"/>
  <c r="L113" i="2"/>
  <c r="L116" i="2"/>
  <c r="L118" i="2"/>
  <c r="L117" i="2"/>
  <c r="L119" i="2"/>
  <c r="L120" i="2"/>
  <c r="L121" i="2"/>
  <c r="L37" i="2"/>
  <c r="L122" i="2"/>
  <c r="L123" i="2"/>
  <c r="L124" i="2"/>
  <c r="L126" i="2"/>
  <c r="L125" i="2"/>
  <c r="L127" i="2"/>
  <c r="L129" i="2"/>
  <c r="L130" i="2"/>
  <c r="L131" i="2"/>
  <c r="L128" i="2"/>
  <c r="L132" i="2"/>
  <c r="L133" i="2"/>
  <c r="L134" i="2"/>
  <c r="L138" i="2"/>
  <c r="L137" i="2"/>
  <c r="L135" i="2"/>
  <c r="L139" i="2"/>
  <c r="L136" i="2"/>
  <c r="L143" i="2"/>
  <c r="L141" i="2"/>
  <c r="L144" i="2"/>
  <c r="L142" i="2"/>
  <c r="L140" i="2"/>
  <c r="L145" i="2"/>
  <c r="L96" i="2"/>
  <c r="L147" i="2"/>
  <c r="L146" i="2"/>
  <c r="L149" i="2"/>
  <c r="L150" i="2"/>
  <c r="L148" i="2"/>
  <c r="L151" i="2"/>
  <c r="L155" i="2"/>
  <c r="L152" i="2"/>
  <c r="L153" i="2"/>
  <c r="L154" i="2"/>
  <c r="L161" i="2"/>
  <c r="L159" i="2"/>
  <c r="L160" i="2"/>
  <c r="L158" i="2"/>
  <c r="L162" i="2"/>
  <c r="L163" i="2"/>
  <c r="L97" i="2"/>
  <c r="L156" i="2"/>
  <c r="L157" i="2"/>
  <c r="L164" i="2"/>
  <c r="L166" i="2"/>
  <c r="L165" i="2"/>
  <c r="L168" i="2"/>
  <c r="L169" i="2"/>
  <c r="L167" i="2"/>
  <c r="L173" i="2"/>
  <c r="L174" i="2"/>
  <c r="L170" i="2"/>
  <c r="L171" i="2"/>
  <c r="L172" i="2"/>
  <c r="L175" i="2"/>
  <c r="L176" i="2"/>
  <c r="L180" i="2"/>
  <c r="L177" i="2"/>
  <c r="L179" i="2"/>
  <c r="L178" i="2"/>
  <c r="L181" i="2"/>
  <c r="L182" i="2"/>
  <c r="L183" i="2"/>
  <c r="L186" i="2"/>
  <c r="L185" i="2"/>
  <c r="L184" i="2"/>
  <c r="L187" i="2"/>
  <c r="L188" i="2"/>
  <c r="L192" i="2"/>
  <c r="L189" i="2"/>
  <c r="L191" i="2"/>
  <c r="L190" i="2"/>
  <c r="L193" i="2"/>
  <c r="L2" i="2"/>
</calcChain>
</file>

<file path=xl/sharedStrings.xml><?xml version="1.0" encoding="utf-8"?>
<sst xmlns="http://schemas.openxmlformats.org/spreadsheetml/2006/main" count="4164" uniqueCount="91">
  <si>
    <t>Round</t>
  </si>
  <si>
    <t>Wk</t>
  </si>
  <si>
    <t>Day</t>
  </si>
  <si>
    <t>Date</t>
  </si>
  <si>
    <t>Time</t>
  </si>
  <si>
    <t>Home</t>
  </si>
  <si>
    <t>Score</t>
  </si>
  <si>
    <t>Away</t>
  </si>
  <si>
    <t>Attendance</t>
  </si>
  <si>
    <t>Venue</t>
  </si>
  <si>
    <t>SeasonEndYear</t>
  </si>
  <si>
    <t>MWk</t>
  </si>
  <si>
    <t>Capacity</t>
  </si>
  <si>
    <t>Aprop</t>
  </si>
  <si>
    <t>RegularSeason</t>
  </si>
  <si>
    <t>Sat</t>
  </si>
  <si>
    <t>Celtic</t>
  </si>
  <si>
    <t>4–2</t>
  </si>
  <si>
    <t>Ross County</t>
  </si>
  <si>
    <t>Celtic Park</t>
  </si>
  <si>
    <t>Dundee</t>
  </si>
  <si>
    <t>1–1</t>
  </si>
  <si>
    <t>Motherwell</t>
  </si>
  <si>
    <t>Kilmac Stadium at Dens Park</t>
  </si>
  <si>
    <t>St Johnstone</t>
  </si>
  <si>
    <t>0–2</t>
  </si>
  <si>
    <t>Hearts</t>
  </si>
  <si>
    <t>McDiarmid Park</t>
  </si>
  <si>
    <t>Livingston</t>
  </si>
  <si>
    <t>0–0</t>
  </si>
  <si>
    <t>Aberdeen</t>
  </si>
  <si>
    <t>Tony Macaroni Arena</t>
  </si>
  <si>
    <t>Kilmarnock</t>
  </si>
  <si>
    <t>1–0</t>
  </si>
  <si>
    <t>Rangers</t>
  </si>
  <si>
    <t>BBSP Stadium, Rugby Park</t>
  </si>
  <si>
    <t>Sun</t>
  </si>
  <si>
    <t>Hibernian</t>
  </si>
  <si>
    <t>2–3</t>
  </si>
  <si>
    <t>St Mirren</t>
  </si>
  <si>
    <t>Easter Road Stadium</t>
  </si>
  <si>
    <t>4–0</t>
  </si>
  <si>
    <t>Ibrox Stadium</t>
  </si>
  <si>
    <t>2–0</t>
  </si>
  <si>
    <t>Global Energy Stadium</t>
  </si>
  <si>
    <t>2–1</t>
  </si>
  <si>
    <t>The Simple Digital Arena</t>
  </si>
  <si>
    <t>1–3</t>
  </si>
  <si>
    <t>Pittodrie Stadium</t>
  </si>
  <si>
    <t>Fir Park</t>
  </si>
  <si>
    <t>Tynecastle Stadium</t>
  </si>
  <si>
    <t>2–2</t>
  </si>
  <si>
    <t>0–1</t>
  </si>
  <si>
    <t>3–0</t>
  </si>
  <si>
    <t>0–3</t>
  </si>
  <si>
    <t>1–2</t>
  </si>
  <si>
    <t>3–1</t>
  </si>
  <si>
    <t>1–4</t>
  </si>
  <si>
    <t>Tue</t>
  </si>
  <si>
    <t>3–3</t>
  </si>
  <si>
    <t>Wed</t>
  </si>
  <si>
    <t>2–4</t>
  </si>
  <si>
    <t>0–5</t>
  </si>
  <si>
    <t>6–0</t>
  </si>
  <si>
    <t>4–1</t>
  </si>
  <si>
    <t>3–2</t>
  </si>
  <si>
    <t>5–0</t>
  </si>
  <si>
    <t>7–1</t>
  </si>
  <si>
    <t>5–2</t>
  </si>
  <si>
    <t>Championship</t>
  </si>
  <si>
    <t>Relegation</t>
  </si>
  <si>
    <t>1–5</t>
  </si>
  <si>
    <t>0–4</t>
  </si>
  <si>
    <t>5–1</t>
  </si>
  <si>
    <t>Regular season</t>
  </si>
  <si>
    <t>Dundee United</t>
  </si>
  <si>
    <t>Tannadice Park</t>
  </si>
  <si>
    <t>0–9</t>
  </si>
  <si>
    <t>6–1</t>
  </si>
  <si>
    <t>Fri</t>
  </si>
  <si>
    <t>3–4</t>
  </si>
  <si>
    <t>Thu</t>
  </si>
  <si>
    <t>Mon</t>
  </si>
  <si>
    <t>Championship round</t>
  </si>
  <si>
    <t>Relegation round</t>
  </si>
  <si>
    <t>St. Mirren Park</t>
  </si>
  <si>
    <t>Rugby Park</t>
  </si>
  <si>
    <t>Hamilton</t>
  </si>
  <si>
    <t>The Hope CBD Stadium</t>
  </si>
  <si>
    <t>0–6</t>
  </si>
  <si>
    <t>4–3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</si>
</sst>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14" fontId="0" fillId="0" borderId="0" xfId="0" applyNumberFormat="1"/>
    <xf numFmtId="20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8D1A-6861-416A-AD4B-084F9AA205DC}">
  <dimension ref="A1:N229"/>
  <sheetViews>
    <sheetView topLeftCell="A210" workbookViewId="0">
      <selection activeCell="J3" sqref="J3"/>
    </sheetView>
  </sheetViews>
  <sheetFormatPr defaultRowHeight="14.5" x14ac:dyDescent="0.35"/>
  <cols>
    <col min="1" max="1" width="14.36328125" bestFit="1" customWidth="1"/>
    <col min="2" max="2" width="3.6328125" bestFit="1" customWidth="1"/>
    <col min="3" max="3" width="4.90625" bestFit="1" customWidth="1"/>
    <col min="4" max="4" width="10.6328125" bestFit="1" customWidth="1"/>
    <col min="5" max="5" width="5.7265625" bestFit="1" customWidth="1"/>
    <col min="6" max="6" width="12.26953125" bestFit="1" customWidth="1"/>
    <col min="7" max="7" width="6.08984375" bestFit="1" customWidth="1"/>
    <col min="8" max="8" width="12.26953125" bestFit="1" customWidth="1"/>
    <col min="9" max="9" width="10.6328125" bestFit="1" customWidth="1"/>
    <col min="10" max="10" width="26.6328125" bestFit="1" customWidth="1"/>
    <col min="11" max="11" width="15.1796875" bestFit="1" customWidth="1"/>
    <col min="12" max="12" width="5.36328125" bestFit="1" customWidth="1"/>
    <col min="13" max="13" width="8.54296875" bestFit="1" customWidth="1"/>
    <col min="14" max="14" width="12.9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1">
        <v>1</v>
      </c>
      <c r="C2" s="1" t="s">
        <v>15</v>
      </c>
      <c r="D2" s="2">
        <v>45143</v>
      </c>
      <c r="E2" s="3">
        <v>0.52083333333333337</v>
      </c>
      <c r="F2" s="1" t="s">
        <v>16</v>
      </c>
      <c r="G2" s="1" t="s">
        <v>17</v>
      </c>
      <c r="H2" s="1" t="s">
        <v>18</v>
      </c>
      <c r="I2" s="4">
        <v>58772</v>
      </c>
      <c r="J2" s="1" t="s">
        <v>19</v>
      </c>
      <c r="K2" s="1">
        <v>2024</v>
      </c>
      <c r="L2" s="1">
        <v>1</v>
      </c>
      <c r="M2" s="1">
        <v>60500</v>
      </c>
      <c r="N2" s="1">
        <v>0.97143801652892559</v>
      </c>
    </row>
    <row r="3" spans="1:14" x14ac:dyDescent="0.35">
      <c r="A3" s="1" t="s">
        <v>14</v>
      </c>
      <c r="B3" s="1">
        <v>1</v>
      </c>
      <c r="C3" s="1" t="s">
        <v>15</v>
      </c>
      <c r="D3" s="2">
        <v>45143</v>
      </c>
      <c r="E3" s="3">
        <v>0.625</v>
      </c>
      <c r="F3" s="1" t="s">
        <v>20</v>
      </c>
      <c r="G3" s="1" t="s">
        <v>21</v>
      </c>
      <c r="H3" s="1" t="s">
        <v>22</v>
      </c>
      <c r="I3" s="4">
        <v>6391</v>
      </c>
      <c r="J3" s="1" t="s">
        <v>23</v>
      </c>
      <c r="K3" s="1">
        <v>2024</v>
      </c>
      <c r="L3" s="1">
        <v>1</v>
      </c>
      <c r="M3" s="1">
        <v>11850</v>
      </c>
      <c r="N3" s="1">
        <v>0.53932489451476795</v>
      </c>
    </row>
    <row r="4" spans="1:14" x14ac:dyDescent="0.35">
      <c r="A4" s="1" t="s">
        <v>14</v>
      </c>
      <c r="B4" s="1">
        <v>1</v>
      </c>
      <c r="C4" s="1" t="s">
        <v>15</v>
      </c>
      <c r="D4" s="2">
        <v>45143</v>
      </c>
      <c r="E4" s="3">
        <v>0.625</v>
      </c>
      <c r="F4" s="1" t="s">
        <v>28</v>
      </c>
      <c r="G4" s="1" t="s">
        <v>29</v>
      </c>
      <c r="H4" s="1" t="s">
        <v>30</v>
      </c>
      <c r="I4" s="4">
        <v>5630</v>
      </c>
      <c r="J4" s="1" t="s">
        <v>31</v>
      </c>
      <c r="K4" s="1">
        <v>2024</v>
      </c>
      <c r="L4" s="1">
        <v>1</v>
      </c>
      <c r="M4" s="1">
        <v>9672</v>
      </c>
      <c r="N4" s="1">
        <v>0.58209263854425142</v>
      </c>
    </row>
    <row r="5" spans="1:14" x14ac:dyDescent="0.35">
      <c r="A5" s="1" t="s">
        <v>14</v>
      </c>
      <c r="B5" s="1">
        <v>1</v>
      </c>
      <c r="C5" s="1" t="s">
        <v>15</v>
      </c>
      <c r="D5" s="2">
        <v>45143</v>
      </c>
      <c r="E5" s="3">
        <v>0.625</v>
      </c>
      <c r="F5" s="1" t="s">
        <v>24</v>
      </c>
      <c r="G5" s="1" t="s">
        <v>25</v>
      </c>
      <c r="H5" s="1" t="s">
        <v>26</v>
      </c>
      <c r="I5" s="4">
        <v>6818</v>
      </c>
      <c r="J5" s="1" t="s">
        <v>27</v>
      </c>
      <c r="K5" s="1">
        <v>2024</v>
      </c>
      <c r="L5" s="1">
        <v>1</v>
      </c>
      <c r="M5" s="1">
        <v>10700</v>
      </c>
      <c r="N5" s="1">
        <v>0.63719626168224297</v>
      </c>
    </row>
    <row r="6" spans="1:14" x14ac:dyDescent="0.35">
      <c r="A6" s="1" t="s">
        <v>14</v>
      </c>
      <c r="B6" s="1">
        <v>1</v>
      </c>
      <c r="C6" s="1" t="s">
        <v>15</v>
      </c>
      <c r="D6" s="2">
        <v>45143</v>
      </c>
      <c r="E6" s="3">
        <v>0.71875</v>
      </c>
      <c r="F6" s="1" t="s">
        <v>32</v>
      </c>
      <c r="G6" s="1" t="s">
        <v>33</v>
      </c>
      <c r="H6" s="1" t="s">
        <v>34</v>
      </c>
      <c r="I6" s="4">
        <v>9256</v>
      </c>
      <c r="J6" s="1" t="s">
        <v>35</v>
      </c>
      <c r="K6" s="1">
        <v>2024</v>
      </c>
      <c r="L6" s="1">
        <v>1</v>
      </c>
      <c r="M6" s="1">
        <v>18128</v>
      </c>
      <c r="N6" s="1">
        <v>0.51059135039717563</v>
      </c>
    </row>
    <row r="7" spans="1:14" x14ac:dyDescent="0.35">
      <c r="A7" s="1" t="s">
        <v>14</v>
      </c>
      <c r="B7" s="1">
        <v>1</v>
      </c>
      <c r="C7" s="1" t="s">
        <v>36</v>
      </c>
      <c r="D7" s="2">
        <v>45144</v>
      </c>
      <c r="E7" s="3">
        <v>0.625</v>
      </c>
      <c r="F7" s="1" t="s">
        <v>37</v>
      </c>
      <c r="G7" s="1" t="s">
        <v>38</v>
      </c>
      <c r="H7" s="1" t="s">
        <v>39</v>
      </c>
      <c r="I7" s="4">
        <v>17586</v>
      </c>
      <c r="J7" s="1" t="s">
        <v>40</v>
      </c>
      <c r="K7" s="1">
        <v>2024</v>
      </c>
      <c r="L7" s="1">
        <v>1</v>
      </c>
      <c r="M7" s="1">
        <v>20250</v>
      </c>
      <c r="N7" s="1">
        <v>0.86844444444444446</v>
      </c>
    </row>
    <row r="8" spans="1:14" x14ac:dyDescent="0.35">
      <c r="A8" s="1" t="s">
        <v>14</v>
      </c>
      <c r="B8" s="1">
        <v>2</v>
      </c>
      <c r="C8" s="1" t="s">
        <v>15</v>
      </c>
      <c r="D8" s="2">
        <v>45150</v>
      </c>
      <c r="E8" s="3">
        <v>0.625</v>
      </c>
      <c r="F8" s="1" t="s">
        <v>34</v>
      </c>
      <c r="G8" s="1" t="s">
        <v>41</v>
      </c>
      <c r="H8" s="1" t="s">
        <v>28</v>
      </c>
      <c r="I8" s="4">
        <v>49320</v>
      </c>
      <c r="J8" s="1" t="s">
        <v>42</v>
      </c>
      <c r="K8" s="1">
        <v>2024</v>
      </c>
      <c r="L8" s="1">
        <v>2</v>
      </c>
      <c r="M8" s="1">
        <v>51082</v>
      </c>
      <c r="N8" s="1">
        <v>0.96550644062487767</v>
      </c>
    </row>
    <row r="9" spans="1:14" x14ac:dyDescent="0.35">
      <c r="A9" s="1" t="s">
        <v>14</v>
      </c>
      <c r="B9" s="1">
        <v>2</v>
      </c>
      <c r="C9" s="1" t="s">
        <v>15</v>
      </c>
      <c r="D9" s="2">
        <v>45150</v>
      </c>
      <c r="E9" s="3">
        <v>0.625</v>
      </c>
      <c r="F9" s="1" t="s">
        <v>18</v>
      </c>
      <c r="G9" s="1" t="s">
        <v>43</v>
      </c>
      <c r="H9" s="1" t="s">
        <v>24</v>
      </c>
      <c r="I9" s="4">
        <v>4157</v>
      </c>
      <c r="J9" s="1" t="s">
        <v>44</v>
      </c>
      <c r="K9" s="1">
        <v>2024</v>
      </c>
      <c r="L9" s="1">
        <v>2</v>
      </c>
      <c r="M9" s="1">
        <v>6541</v>
      </c>
      <c r="N9" s="1">
        <v>0.63552973551444736</v>
      </c>
    </row>
    <row r="10" spans="1:14" x14ac:dyDescent="0.35">
      <c r="A10" s="1" t="s">
        <v>14</v>
      </c>
      <c r="B10" s="1">
        <v>2</v>
      </c>
      <c r="C10" s="1" t="s">
        <v>15</v>
      </c>
      <c r="D10" s="2">
        <v>45150</v>
      </c>
      <c r="E10" s="3">
        <v>0.625</v>
      </c>
      <c r="F10" s="1" t="s">
        <v>39</v>
      </c>
      <c r="G10" s="1" t="s">
        <v>45</v>
      </c>
      <c r="H10" s="1" t="s">
        <v>20</v>
      </c>
      <c r="I10" s="4">
        <v>6581</v>
      </c>
      <c r="J10" s="1" t="s">
        <v>46</v>
      </c>
      <c r="K10" s="1">
        <v>2024</v>
      </c>
      <c r="L10" s="1">
        <v>2</v>
      </c>
      <c r="M10" s="1">
        <v>8006</v>
      </c>
      <c r="N10" s="1">
        <v>0.82200849362977768</v>
      </c>
    </row>
    <row r="11" spans="1:14" x14ac:dyDescent="0.35">
      <c r="A11" s="1" t="s">
        <v>14</v>
      </c>
      <c r="B11" s="1">
        <v>2</v>
      </c>
      <c r="C11" s="1" t="s">
        <v>36</v>
      </c>
      <c r="D11" s="2">
        <v>45151</v>
      </c>
      <c r="E11" s="3">
        <v>0.5</v>
      </c>
      <c r="F11" s="1" t="s">
        <v>30</v>
      </c>
      <c r="G11" s="1" t="s">
        <v>47</v>
      </c>
      <c r="H11" s="1" t="s">
        <v>16</v>
      </c>
      <c r="I11" s="4">
        <v>18652</v>
      </c>
      <c r="J11" s="1" t="s">
        <v>48</v>
      </c>
      <c r="K11" s="1">
        <v>2024</v>
      </c>
      <c r="L11" s="1">
        <v>2</v>
      </c>
      <c r="M11" s="1">
        <v>21412</v>
      </c>
      <c r="N11" s="1">
        <v>0.8711003175789277</v>
      </c>
    </row>
    <row r="12" spans="1:14" x14ac:dyDescent="0.35">
      <c r="A12" s="1" t="s">
        <v>14</v>
      </c>
      <c r="B12" s="1">
        <v>2</v>
      </c>
      <c r="C12" s="1" t="s">
        <v>36</v>
      </c>
      <c r="D12" s="2">
        <v>45151</v>
      </c>
      <c r="E12" s="3">
        <v>0.625</v>
      </c>
      <c r="F12" s="1" t="s">
        <v>26</v>
      </c>
      <c r="G12" s="1" t="s">
        <v>29</v>
      </c>
      <c r="H12" s="1" t="s">
        <v>32</v>
      </c>
      <c r="I12" s="4">
        <v>18455</v>
      </c>
      <c r="J12" s="1" t="s">
        <v>50</v>
      </c>
      <c r="K12" s="1">
        <v>2024</v>
      </c>
      <c r="L12" s="1">
        <v>2</v>
      </c>
      <c r="M12" s="1">
        <v>19852</v>
      </c>
      <c r="N12" s="1">
        <v>0.92962925649808581</v>
      </c>
    </row>
    <row r="13" spans="1:14" x14ac:dyDescent="0.35">
      <c r="A13" s="1" t="s">
        <v>14</v>
      </c>
      <c r="B13" s="1">
        <v>2</v>
      </c>
      <c r="C13" s="1" t="s">
        <v>36</v>
      </c>
      <c r="D13" s="2">
        <v>45151</v>
      </c>
      <c r="E13" s="3">
        <v>0.625</v>
      </c>
      <c r="F13" s="1" t="s">
        <v>22</v>
      </c>
      <c r="G13" s="1" t="s">
        <v>45</v>
      </c>
      <c r="H13" s="1" t="s">
        <v>37</v>
      </c>
      <c r="I13" s="4">
        <v>6262</v>
      </c>
      <c r="J13" s="1" t="s">
        <v>49</v>
      </c>
      <c r="K13" s="1">
        <v>2024</v>
      </c>
      <c r="L13" s="1">
        <v>2</v>
      </c>
      <c r="M13" s="1">
        <v>13750</v>
      </c>
      <c r="N13" s="1">
        <v>0.45541818181818183</v>
      </c>
    </row>
    <row r="14" spans="1:14" x14ac:dyDescent="0.35">
      <c r="A14" s="1" t="s">
        <v>14</v>
      </c>
      <c r="B14" s="1">
        <v>3</v>
      </c>
      <c r="C14" s="1" t="s">
        <v>15</v>
      </c>
      <c r="D14" s="2">
        <v>45164</v>
      </c>
      <c r="E14" s="3">
        <v>0.52083333333333337</v>
      </c>
      <c r="F14" s="1" t="s">
        <v>18</v>
      </c>
      <c r="G14" s="1" t="s">
        <v>25</v>
      </c>
      <c r="H14" s="1" t="s">
        <v>34</v>
      </c>
      <c r="I14" s="4">
        <v>6540</v>
      </c>
      <c r="J14" s="1" t="s">
        <v>44</v>
      </c>
      <c r="K14" s="1">
        <v>2024</v>
      </c>
      <c r="L14" s="1">
        <v>3</v>
      </c>
      <c r="M14" s="1">
        <v>6541</v>
      </c>
      <c r="N14" s="1">
        <v>0.99984711817764871</v>
      </c>
    </row>
    <row r="15" spans="1:14" x14ac:dyDescent="0.35">
      <c r="A15" s="1" t="s">
        <v>14</v>
      </c>
      <c r="B15" s="1">
        <v>3</v>
      </c>
      <c r="C15" s="1" t="s">
        <v>15</v>
      </c>
      <c r="D15" s="2">
        <v>45164</v>
      </c>
      <c r="E15" s="3">
        <v>0.625</v>
      </c>
      <c r="F15" s="1" t="s">
        <v>16</v>
      </c>
      <c r="G15" s="1" t="s">
        <v>29</v>
      </c>
      <c r="H15" s="1" t="s">
        <v>24</v>
      </c>
      <c r="I15" s="4">
        <v>58600</v>
      </c>
      <c r="J15" s="1" t="s">
        <v>19</v>
      </c>
      <c r="K15" s="1">
        <v>2024</v>
      </c>
      <c r="L15" s="1">
        <v>3</v>
      </c>
      <c r="M15" s="1">
        <v>60500</v>
      </c>
      <c r="N15" s="1">
        <v>0.968595041322314</v>
      </c>
    </row>
    <row r="16" spans="1:14" x14ac:dyDescent="0.35">
      <c r="A16" s="1" t="s">
        <v>14</v>
      </c>
      <c r="B16" s="1">
        <v>3</v>
      </c>
      <c r="C16" s="1" t="s">
        <v>15</v>
      </c>
      <c r="D16" s="2">
        <v>45164</v>
      </c>
      <c r="E16" s="3">
        <v>0.625</v>
      </c>
      <c r="F16" s="1" t="s">
        <v>37</v>
      </c>
      <c r="G16" s="1" t="s">
        <v>38</v>
      </c>
      <c r="H16" s="1" t="s">
        <v>28</v>
      </c>
      <c r="I16" s="4">
        <v>14932</v>
      </c>
      <c r="J16" s="1" t="s">
        <v>40</v>
      </c>
      <c r="K16" s="1">
        <v>2024</v>
      </c>
      <c r="L16" s="1">
        <v>3</v>
      </c>
      <c r="M16" s="1">
        <v>20250</v>
      </c>
      <c r="N16" s="1">
        <v>0.73738271604938277</v>
      </c>
    </row>
    <row r="17" spans="1:14" x14ac:dyDescent="0.35">
      <c r="A17" s="1" t="s">
        <v>14</v>
      </c>
      <c r="B17" s="1">
        <v>3</v>
      </c>
      <c r="C17" s="1" t="s">
        <v>15</v>
      </c>
      <c r="D17" s="2">
        <v>45164</v>
      </c>
      <c r="E17" s="3">
        <v>0.625</v>
      </c>
      <c r="F17" s="1" t="s">
        <v>22</v>
      </c>
      <c r="G17" s="1" t="s">
        <v>45</v>
      </c>
      <c r="H17" s="1" t="s">
        <v>32</v>
      </c>
      <c r="I17" s="4">
        <v>5758</v>
      </c>
      <c r="J17" s="1" t="s">
        <v>49</v>
      </c>
      <c r="K17" s="1">
        <v>2024</v>
      </c>
      <c r="L17" s="1">
        <v>3</v>
      </c>
      <c r="M17" s="1">
        <v>13750</v>
      </c>
      <c r="N17" s="1">
        <v>0.41876363636363634</v>
      </c>
    </row>
    <row r="18" spans="1:14" x14ac:dyDescent="0.35">
      <c r="A18" s="1" t="s">
        <v>14</v>
      </c>
      <c r="B18" s="1">
        <v>3</v>
      </c>
      <c r="C18" s="1" t="s">
        <v>36</v>
      </c>
      <c r="D18" s="2">
        <v>45165</v>
      </c>
      <c r="E18" s="3">
        <v>0.625</v>
      </c>
      <c r="F18" s="1" t="s">
        <v>20</v>
      </c>
      <c r="G18" s="1" t="s">
        <v>33</v>
      </c>
      <c r="H18" s="1" t="s">
        <v>26</v>
      </c>
      <c r="I18" s="4">
        <v>8104</v>
      </c>
      <c r="J18" s="1" t="s">
        <v>23</v>
      </c>
      <c r="K18" s="1">
        <v>2024</v>
      </c>
      <c r="L18" s="1">
        <v>3</v>
      </c>
      <c r="M18" s="1">
        <v>11850</v>
      </c>
      <c r="N18" s="1">
        <v>0.68388185654008438</v>
      </c>
    </row>
    <row r="19" spans="1:14" x14ac:dyDescent="0.35">
      <c r="A19" s="1" t="s">
        <v>14</v>
      </c>
      <c r="B19" s="1">
        <v>3</v>
      </c>
      <c r="C19" s="1" t="s">
        <v>36</v>
      </c>
      <c r="D19" s="2">
        <v>45165</v>
      </c>
      <c r="E19" s="3">
        <v>0.625</v>
      </c>
      <c r="F19" s="1" t="s">
        <v>39</v>
      </c>
      <c r="G19" s="1" t="s">
        <v>51</v>
      </c>
      <c r="H19" s="1" t="s">
        <v>30</v>
      </c>
      <c r="I19" s="4">
        <v>7492</v>
      </c>
      <c r="J19" s="1" t="s">
        <v>46</v>
      </c>
      <c r="K19" s="1">
        <v>2024</v>
      </c>
      <c r="L19" s="1">
        <v>3</v>
      </c>
      <c r="M19" s="1">
        <v>8006</v>
      </c>
      <c r="N19" s="1">
        <v>0.93579815138646016</v>
      </c>
    </row>
    <row r="20" spans="1:14" x14ac:dyDescent="0.35">
      <c r="A20" s="1" t="s">
        <v>14</v>
      </c>
      <c r="B20" s="1">
        <v>4</v>
      </c>
      <c r="C20" s="1" t="s">
        <v>15</v>
      </c>
      <c r="D20" s="2">
        <v>45171</v>
      </c>
      <c r="E20" s="3">
        <v>0.625</v>
      </c>
      <c r="F20" s="1" t="s">
        <v>32</v>
      </c>
      <c r="G20" s="1" t="s">
        <v>52</v>
      </c>
      <c r="H20" s="1" t="s">
        <v>18</v>
      </c>
      <c r="I20" s="4">
        <v>5258</v>
      </c>
      <c r="J20" s="1" t="s">
        <v>35</v>
      </c>
      <c r="K20" s="1">
        <v>2024</v>
      </c>
      <c r="L20" s="1">
        <v>4</v>
      </c>
      <c r="M20" s="1">
        <v>18128</v>
      </c>
      <c r="N20" s="1">
        <v>0.29004854368932037</v>
      </c>
    </row>
    <row r="21" spans="1:14" x14ac:dyDescent="0.35">
      <c r="A21" s="1" t="s">
        <v>14</v>
      </c>
      <c r="B21" s="1">
        <v>4</v>
      </c>
      <c r="C21" s="1" t="s">
        <v>15</v>
      </c>
      <c r="D21" s="2">
        <v>45171</v>
      </c>
      <c r="E21" s="3">
        <v>0.625</v>
      </c>
      <c r="F21" s="1" t="s">
        <v>28</v>
      </c>
      <c r="G21" s="1" t="s">
        <v>21</v>
      </c>
      <c r="H21" s="1" t="s">
        <v>39</v>
      </c>
      <c r="I21" s="4">
        <v>2075</v>
      </c>
      <c r="J21" s="1" t="s">
        <v>31</v>
      </c>
      <c r="K21" s="1">
        <v>2024</v>
      </c>
      <c r="L21" s="1">
        <v>4</v>
      </c>
      <c r="M21" s="1">
        <v>9672</v>
      </c>
      <c r="N21" s="1">
        <v>0.21453680727874277</v>
      </c>
    </row>
    <row r="22" spans="1:14" x14ac:dyDescent="0.35">
      <c r="A22" s="1" t="s">
        <v>14</v>
      </c>
      <c r="B22" s="1">
        <v>4</v>
      </c>
      <c r="C22" s="1" t="s">
        <v>15</v>
      </c>
      <c r="D22" s="2">
        <v>45171</v>
      </c>
      <c r="E22" s="3">
        <v>0.625</v>
      </c>
      <c r="F22" s="1" t="s">
        <v>24</v>
      </c>
      <c r="G22" s="1" t="s">
        <v>51</v>
      </c>
      <c r="H22" s="1" t="s">
        <v>20</v>
      </c>
      <c r="I22" s="4">
        <v>5935</v>
      </c>
      <c r="J22" s="1" t="s">
        <v>27</v>
      </c>
      <c r="K22" s="1">
        <v>2024</v>
      </c>
      <c r="L22" s="1">
        <v>4</v>
      </c>
      <c r="M22" s="1">
        <v>10700</v>
      </c>
      <c r="N22" s="1">
        <v>0.55467289719626167</v>
      </c>
    </row>
    <row r="23" spans="1:14" x14ac:dyDescent="0.35">
      <c r="A23" s="1" t="s">
        <v>14</v>
      </c>
      <c r="B23" s="1">
        <v>4</v>
      </c>
      <c r="C23" s="1" t="s">
        <v>36</v>
      </c>
      <c r="D23" s="2">
        <v>45172</v>
      </c>
      <c r="E23" s="3">
        <v>0.5</v>
      </c>
      <c r="F23" s="1" t="s">
        <v>34</v>
      </c>
      <c r="G23" s="1" t="s">
        <v>52</v>
      </c>
      <c r="H23" s="1" t="s">
        <v>16</v>
      </c>
      <c r="I23" s="4">
        <v>50652</v>
      </c>
      <c r="J23" s="1" t="s">
        <v>42</v>
      </c>
      <c r="K23" s="1">
        <v>2024</v>
      </c>
      <c r="L23" s="1">
        <v>4</v>
      </c>
      <c r="M23" s="1">
        <v>51082</v>
      </c>
      <c r="N23" s="1">
        <v>0.99158216201401672</v>
      </c>
    </row>
    <row r="24" spans="1:14" x14ac:dyDescent="0.35">
      <c r="A24" s="1" t="s">
        <v>14</v>
      </c>
      <c r="B24" s="1">
        <v>4</v>
      </c>
      <c r="C24" s="1" t="s">
        <v>36</v>
      </c>
      <c r="D24" s="2">
        <v>45172</v>
      </c>
      <c r="E24" s="3">
        <v>0.625</v>
      </c>
      <c r="F24" s="1" t="s">
        <v>30</v>
      </c>
      <c r="G24" s="1" t="s">
        <v>25</v>
      </c>
      <c r="H24" s="1" t="s">
        <v>37</v>
      </c>
      <c r="I24" s="4">
        <v>16471</v>
      </c>
      <c r="J24" s="1" t="s">
        <v>48</v>
      </c>
      <c r="K24" s="1">
        <v>2024</v>
      </c>
      <c r="L24" s="1">
        <v>4</v>
      </c>
      <c r="M24" s="1">
        <v>21412</v>
      </c>
      <c r="N24" s="1">
        <v>0.76924154679618906</v>
      </c>
    </row>
    <row r="25" spans="1:14" x14ac:dyDescent="0.35">
      <c r="A25" s="1" t="s">
        <v>14</v>
      </c>
      <c r="B25" s="1">
        <v>4</v>
      </c>
      <c r="C25" s="1" t="s">
        <v>36</v>
      </c>
      <c r="D25" s="2">
        <v>45172</v>
      </c>
      <c r="E25" s="3">
        <v>0.625</v>
      </c>
      <c r="F25" s="1" t="s">
        <v>26</v>
      </c>
      <c r="G25" s="1" t="s">
        <v>52</v>
      </c>
      <c r="H25" s="1" t="s">
        <v>22</v>
      </c>
      <c r="I25" s="4">
        <v>18353</v>
      </c>
      <c r="J25" s="1" t="s">
        <v>50</v>
      </c>
      <c r="K25" s="1">
        <v>2024</v>
      </c>
      <c r="L25" s="1">
        <v>4</v>
      </c>
      <c r="M25" s="1">
        <v>19852</v>
      </c>
      <c r="N25" s="1">
        <v>0.92449123514003628</v>
      </c>
    </row>
    <row r="26" spans="1:14" x14ac:dyDescent="0.35">
      <c r="A26" s="1" t="s">
        <v>14</v>
      </c>
      <c r="B26" s="1">
        <v>5</v>
      </c>
      <c r="C26" s="1" t="s">
        <v>15</v>
      </c>
      <c r="D26" s="2">
        <v>45185</v>
      </c>
      <c r="E26" s="3">
        <v>0.52083333333333337</v>
      </c>
      <c r="F26" s="1" t="s">
        <v>24</v>
      </c>
      <c r="G26" s="1" t="s">
        <v>25</v>
      </c>
      <c r="H26" s="1" t="s">
        <v>34</v>
      </c>
      <c r="I26" s="4">
        <v>6967</v>
      </c>
      <c r="J26" s="1" t="s">
        <v>27</v>
      </c>
      <c r="K26" s="1">
        <v>2024</v>
      </c>
      <c r="L26" s="1">
        <v>5</v>
      </c>
      <c r="M26" s="1">
        <v>10700</v>
      </c>
      <c r="N26" s="1">
        <v>0.65112149532710284</v>
      </c>
    </row>
    <row r="27" spans="1:14" x14ac:dyDescent="0.35">
      <c r="A27" s="1" t="s">
        <v>14</v>
      </c>
      <c r="B27" s="1">
        <v>5</v>
      </c>
      <c r="C27" s="1" t="s">
        <v>15</v>
      </c>
      <c r="D27" s="2">
        <v>45185</v>
      </c>
      <c r="E27" s="3">
        <v>0.625</v>
      </c>
      <c r="F27" s="1" t="s">
        <v>16</v>
      </c>
      <c r="G27" s="1" t="s">
        <v>53</v>
      </c>
      <c r="H27" s="1" t="s">
        <v>20</v>
      </c>
      <c r="I27" s="4">
        <v>58928</v>
      </c>
      <c r="J27" s="1" t="s">
        <v>19</v>
      </c>
      <c r="K27" s="1">
        <v>2024</v>
      </c>
      <c r="L27" s="1">
        <v>5</v>
      </c>
      <c r="M27" s="1">
        <v>60500</v>
      </c>
      <c r="N27" s="1">
        <v>0.97401652892561985</v>
      </c>
    </row>
    <row r="28" spans="1:14" x14ac:dyDescent="0.35">
      <c r="A28" s="1" t="s">
        <v>14</v>
      </c>
      <c r="B28" s="1">
        <v>5</v>
      </c>
      <c r="C28" s="1" t="s">
        <v>15</v>
      </c>
      <c r="D28" s="2">
        <v>45185</v>
      </c>
      <c r="E28" s="3">
        <v>0.625</v>
      </c>
      <c r="F28" s="1" t="s">
        <v>26</v>
      </c>
      <c r="G28" s="1" t="s">
        <v>43</v>
      </c>
      <c r="H28" s="1" t="s">
        <v>30</v>
      </c>
      <c r="I28" s="4">
        <v>18626</v>
      </c>
      <c r="J28" s="1" t="s">
        <v>50</v>
      </c>
      <c r="K28" s="1">
        <v>2024</v>
      </c>
      <c r="L28" s="1">
        <v>5</v>
      </c>
      <c r="M28" s="1">
        <v>19852</v>
      </c>
      <c r="N28" s="1">
        <v>0.93824299818658075</v>
      </c>
    </row>
    <row r="29" spans="1:14" x14ac:dyDescent="0.35">
      <c r="A29" s="1" t="s">
        <v>14</v>
      </c>
      <c r="B29" s="1">
        <v>5</v>
      </c>
      <c r="C29" s="1" t="s">
        <v>15</v>
      </c>
      <c r="D29" s="2">
        <v>45185</v>
      </c>
      <c r="E29" s="3">
        <v>0.625</v>
      </c>
      <c r="F29" s="1" t="s">
        <v>32</v>
      </c>
      <c r="G29" s="1" t="s">
        <v>51</v>
      </c>
      <c r="H29" s="1" t="s">
        <v>37</v>
      </c>
      <c r="I29" s="4">
        <v>6277</v>
      </c>
      <c r="J29" s="1" t="s">
        <v>35</v>
      </c>
      <c r="K29" s="1">
        <v>2024</v>
      </c>
      <c r="L29" s="1">
        <v>5</v>
      </c>
      <c r="M29" s="1">
        <v>18128</v>
      </c>
      <c r="N29" s="1">
        <v>0.34625992939099737</v>
      </c>
    </row>
    <row r="30" spans="1:14" x14ac:dyDescent="0.35">
      <c r="A30" s="1" t="s">
        <v>14</v>
      </c>
      <c r="B30" s="1">
        <v>5</v>
      </c>
      <c r="C30" s="1" t="s">
        <v>15</v>
      </c>
      <c r="D30" s="2">
        <v>45185</v>
      </c>
      <c r="E30" s="3">
        <v>0.625</v>
      </c>
      <c r="F30" s="1" t="s">
        <v>22</v>
      </c>
      <c r="G30" s="1" t="s">
        <v>52</v>
      </c>
      <c r="H30" s="1" t="s">
        <v>39</v>
      </c>
      <c r="I30" s="4">
        <v>5653</v>
      </c>
      <c r="J30" s="1" t="s">
        <v>49</v>
      </c>
      <c r="K30" s="1">
        <v>2024</v>
      </c>
      <c r="L30" s="1">
        <v>5</v>
      </c>
      <c r="M30" s="1">
        <v>13750</v>
      </c>
      <c r="N30" s="1">
        <v>0.41112727272727273</v>
      </c>
    </row>
    <row r="31" spans="1:14" x14ac:dyDescent="0.35">
      <c r="A31" s="1" t="s">
        <v>14</v>
      </c>
      <c r="B31" s="1">
        <v>5</v>
      </c>
      <c r="C31" s="1" t="s">
        <v>15</v>
      </c>
      <c r="D31" s="2">
        <v>45185</v>
      </c>
      <c r="E31" s="3">
        <v>0.625</v>
      </c>
      <c r="F31" s="1" t="s">
        <v>18</v>
      </c>
      <c r="G31" s="1" t="s">
        <v>21</v>
      </c>
      <c r="H31" s="1" t="s">
        <v>28</v>
      </c>
      <c r="I31" s="4">
        <v>3160</v>
      </c>
      <c r="J31" s="1" t="s">
        <v>44</v>
      </c>
      <c r="K31" s="1">
        <v>2024</v>
      </c>
      <c r="L31" s="1">
        <v>5</v>
      </c>
      <c r="M31" s="1">
        <v>6541</v>
      </c>
      <c r="N31" s="1">
        <v>0.48310655863017887</v>
      </c>
    </row>
    <row r="32" spans="1:14" x14ac:dyDescent="0.35">
      <c r="A32" s="1" t="s">
        <v>14</v>
      </c>
      <c r="B32" s="1">
        <v>6</v>
      </c>
      <c r="C32" s="1" t="s">
        <v>15</v>
      </c>
      <c r="D32" s="2">
        <v>45192</v>
      </c>
      <c r="E32" s="3">
        <v>0.52083333333333337</v>
      </c>
      <c r="F32" s="1" t="s">
        <v>28</v>
      </c>
      <c r="G32" s="1" t="s">
        <v>54</v>
      </c>
      <c r="H32" s="1" t="s">
        <v>16</v>
      </c>
      <c r="I32" s="4">
        <v>8118</v>
      </c>
      <c r="J32" s="1" t="s">
        <v>31</v>
      </c>
      <c r="K32" s="1">
        <v>2024</v>
      </c>
      <c r="L32" s="1">
        <v>6</v>
      </c>
      <c r="M32" s="1">
        <v>9672</v>
      </c>
      <c r="N32" s="1">
        <v>0.83933002481389574</v>
      </c>
    </row>
    <row r="33" spans="1:14" x14ac:dyDescent="0.35">
      <c r="A33" s="1" t="s">
        <v>14</v>
      </c>
      <c r="B33" s="1">
        <v>6</v>
      </c>
      <c r="C33" s="1" t="s">
        <v>15</v>
      </c>
      <c r="D33" s="2">
        <v>45192</v>
      </c>
      <c r="E33" s="3">
        <v>0.625</v>
      </c>
      <c r="F33" s="1" t="s">
        <v>20</v>
      </c>
      <c r="G33" s="1" t="s">
        <v>51</v>
      </c>
      <c r="H33" s="1" t="s">
        <v>32</v>
      </c>
      <c r="I33" s="4">
        <v>6101</v>
      </c>
      <c r="J33" s="1" t="s">
        <v>23</v>
      </c>
      <c r="K33" s="1">
        <v>2024</v>
      </c>
      <c r="L33" s="1">
        <v>6</v>
      </c>
      <c r="M33" s="1">
        <v>11850</v>
      </c>
      <c r="N33" s="1">
        <v>0.51485232067510545</v>
      </c>
    </row>
    <row r="34" spans="1:14" x14ac:dyDescent="0.35">
      <c r="A34" s="1" t="s">
        <v>14</v>
      </c>
      <c r="B34" s="1">
        <v>6</v>
      </c>
      <c r="C34" s="1" t="s">
        <v>15</v>
      </c>
      <c r="D34" s="2">
        <v>45192</v>
      </c>
      <c r="E34" s="3">
        <v>0.625</v>
      </c>
      <c r="F34" s="1" t="s">
        <v>37</v>
      </c>
      <c r="G34" s="1" t="s">
        <v>43</v>
      </c>
      <c r="H34" s="1" t="s">
        <v>24</v>
      </c>
      <c r="I34" s="4">
        <v>16850</v>
      </c>
      <c r="J34" s="1" t="s">
        <v>40</v>
      </c>
      <c r="K34" s="1">
        <v>2024</v>
      </c>
      <c r="L34" s="1">
        <v>6</v>
      </c>
      <c r="M34" s="1">
        <v>20250</v>
      </c>
      <c r="N34" s="1">
        <v>0.83209876543209882</v>
      </c>
    </row>
    <row r="35" spans="1:14" x14ac:dyDescent="0.35">
      <c r="A35" s="1" t="s">
        <v>14</v>
      </c>
      <c r="B35" s="1">
        <v>6</v>
      </c>
      <c r="C35" s="1" t="s">
        <v>15</v>
      </c>
      <c r="D35" s="2">
        <v>45192</v>
      </c>
      <c r="E35" s="3">
        <v>0.625</v>
      </c>
      <c r="F35" s="1" t="s">
        <v>39</v>
      </c>
      <c r="G35" s="1" t="s">
        <v>33</v>
      </c>
      <c r="H35" s="1" t="s">
        <v>26</v>
      </c>
      <c r="I35" s="4">
        <v>7537</v>
      </c>
      <c r="J35" s="1" t="s">
        <v>46</v>
      </c>
      <c r="K35" s="1">
        <v>2024</v>
      </c>
      <c r="L35" s="1">
        <v>6</v>
      </c>
      <c r="M35" s="1">
        <v>8006</v>
      </c>
      <c r="N35" s="1">
        <v>0.94141893579815139</v>
      </c>
    </row>
    <row r="36" spans="1:14" x14ac:dyDescent="0.35">
      <c r="A36" s="1" t="s">
        <v>14</v>
      </c>
      <c r="B36" s="1">
        <v>6</v>
      </c>
      <c r="C36" s="1" t="s">
        <v>36</v>
      </c>
      <c r="D36" s="2">
        <v>45193</v>
      </c>
      <c r="E36" s="3">
        <v>0.625</v>
      </c>
      <c r="F36" s="1" t="s">
        <v>30</v>
      </c>
      <c r="G36" s="1" t="s">
        <v>41</v>
      </c>
      <c r="H36" s="1" t="s">
        <v>18</v>
      </c>
      <c r="I36" s="4">
        <v>15116</v>
      </c>
      <c r="J36" s="1" t="s">
        <v>48</v>
      </c>
      <c r="K36" s="1">
        <v>2024</v>
      </c>
      <c r="L36" s="1">
        <v>6</v>
      </c>
      <c r="M36" s="1">
        <v>21412</v>
      </c>
      <c r="N36" s="1">
        <v>0.70595927517280033</v>
      </c>
    </row>
    <row r="37" spans="1:14" x14ac:dyDescent="0.35">
      <c r="A37" s="1" t="s">
        <v>14</v>
      </c>
      <c r="B37" s="1">
        <v>6</v>
      </c>
      <c r="C37" s="1" t="s">
        <v>36</v>
      </c>
      <c r="D37" s="2">
        <v>45193</v>
      </c>
      <c r="E37" s="3">
        <v>0.625</v>
      </c>
      <c r="F37" s="1" t="s">
        <v>34</v>
      </c>
      <c r="G37" s="1" t="s">
        <v>33</v>
      </c>
      <c r="H37" s="1" t="s">
        <v>22</v>
      </c>
      <c r="I37" s="4">
        <v>48539</v>
      </c>
      <c r="J37" s="1" t="s">
        <v>42</v>
      </c>
      <c r="K37" s="1">
        <v>2024</v>
      </c>
      <c r="L37" s="1">
        <v>6</v>
      </c>
      <c r="M37" s="1">
        <v>51082</v>
      </c>
      <c r="N37" s="1">
        <v>0.95021729767824281</v>
      </c>
    </row>
    <row r="38" spans="1:14" x14ac:dyDescent="0.35">
      <c r="A38" s="1" t="s">
        <v>14</v>
      </c>
      <c r="B38" s="1">
        <v>7</v>
      </c>
      <c r="C38" s="1" t="s">
        <v>15</v>
      </c>
      <c r="D38" s="2">
        <v>45199</v>
      </c>
      <c r="E38" s="3">
        <v>0.52083333333333337</v>
      </c>
      <c r="F38" s="1" t="s">
        <v>22</v>
      </c>
      <c r="G38" s="1" t="s">
        <v>55</v>
      </c>
      <c r="H38" s="1" t="s">
        <v>16</v>
      </c>
      <c r="I38" s="4">
        <v>8778</v>
      </c>
      <c r="J38" s="1" t="s">
        <v>49</v>
      </c>
      <c r="K38" s="1">
        <v>2024</v>
      </c>
      <c r="L38" s="1">
        <v>7</v>
      </c>
      <c r="M38" s="1">
        <v>13750</v>
      </c>
      <c r="N38" s="1">
        <v>0.63839999999999997</v>
      </c>
    </row>
    <row r="39" spans="1:14" x14ac:dyDescent="0.35">
      <c r="A39" s="1" t="s">
        <v>14</v>
      </c>
      <c r="B39" s="1">
        <v>7</v>
      </c>
      <c r="C39" s="1" t="s">
        <v>15</v>
      </c>
      <c r="D39" s="2">
        <v>45199</v>
      </c>
      <c r="E39" s="3">
        <v>0.625</v>
      </c>
      <c r="F39" s="1" t="s">
        <v>37</v>
      </c>
      <c r="G39" s="1" t="s">
        <v>29</v>
      </c>
      <c r="H39" s="1" t="s">
        <v>20</v>
      </c>
      <c r="I39" s="4">
        <v>16793</v>
      </c>
      <c r="J39" s="1" t="s">
        <v>40</v>
      </c>
      <c r="K39" s="1">
        <v>2024</v>
      </c>
      <c r="L39" s="1">
        <v>7</v>
      </c>
      <c r="M39" s="1">
        <v>20250</v>
      </c>
      <c r="N39" s="1">
        <v>0.82928395061728399</v>
      </c>
    </row>
    <row r="40" spans="1:14" x14ac:dyDescent="0.35">
      <c r="A40" s="1" t="s">
        <v>14</v>
      </c>
      <c r="B40" s="1">
        <v>7</v>
      </c>
      <c r="C40" s="1" t="s">
        <v>15</v>
      </c>
      <c r="D40" s="2">
        <v>45199</v>
      </c>
      <c r="E40" s="3">
        <v>0.625</v>
      </c>
      <c r="F40" s="1" t="s">
        <v>32</v>
      </c>
      <c r="G40" s="1" t="s">
        <v>21</v>
      </c>
      <c r="H40" s="1" t="s">
        <v>39</v>
      </c>
      <c r="I40" s="4">
        <v>6124</v>
      </c>
      <c r="J40" s="1" t="s">
        <v>35</v>
      </c>
      <c r="K40" s="1">
        <v>2024</v>
      </c>
      <c r="L40" s="1">
        <v>7</v>
      </c>
      <c r="M40" s="1">
        <v>18128</v>
      </c>
      <c r="N40" s="1">
        <v>0.33781994704324803</v>
      </c>
    </row>
    <row r="41" spans="1:14" x14ac:dyDescent="0.35">
      <c r="A41" s="1" t="s">
        <v>14</v>
      </c>
      <c r="B41" s="1">
        <v>7</v>
      </c>
      <c r="C41" s="1" t="s">
        <v>15</v>
      </c>
      <c r="D41" s="2">
        <v>45199</v>
      </c>
      <c r="E41" s="3">
        <v>0.625</v>
      </c>
      <c r="F41" s="1" t="s">
        <v>34</v>
      </c>
      <c r="G41" s="1" t="s">
        <v>47</v>
      </c>
      <c r="H41" s="1" t="s">
        <v>30</v>
      </c>
      <c r="I41" s="4">
        <v>49959</v>
      </c>
      <c r="J41" s="1" t="s">
        <v>42</v>
      </c>
      <c r="K41" s="1">
        <v>2024</v>
      </c>
      <c r="L41" s="1">
        <v>7</v>
      </c>
      <c r="M41" s="1">
        <v>51082</v>
      </c>
      <c r="N41" s="1">
        <v>0.97801573939939701</v>
      </c>
    </row>
    <row r="42" spans="1:14" x14ac:dyDescent="0.35">
      <c r="A42" s="1" t="s">
        <v>14</v>
      </c>
      <c r="B42" s="1">
        <v>7</v>
      </c>
      <c r="C42" s="1" t="s">
        <v>15</v>
      </c>
      <c r="D42" s="2">
        <v>45199</v>
      </c>
      <c r="E42" s="3">
        <v>0.625</v>
      </c>
      <c r="F42" s="1" t="s">
        <v>18</v>
      </c>
      <c r="G42" s="1" t="s">
        <v>52</v>
      </c>
      <c r="H42" s="1" t="s">
        <v>26</v>
      </c>
      <c r="I42" s="4">
        <v>4773</v>
      </c>
      <c r="J42" s="1" t="s">
        <v>44</v>
      </c>
      <c r="K42" s="1">
        <v>2024</v>
      </c>
      <c r="L42" s="1">
        <v>7</v>
      </c>
      <c r="M42" s="1">
        <v>6541</v>
      </c>
      <c r="N42" s="1">
        <v>0.72970493808286196</v>
      </c>
    </row>
    <row r="43" spans="1:14" x14ac:dyDescent="0.35">
      <c r="A43" s="1" t="s">
        <v>14</v>
      </c>
      <c r="B43" s="1">
        <v>7</v>
      </c>
      <c r="C43" s="1" t="s">
        <v>15</v>
      </c>
      <c r="D43" s="2">
        <v>45199</v>
      </c>
      <c r="E43" s="3">
        <v>0.625</v>
      </c>
      <c r="F43" s="1" t="s">
        <v>24</v>
      </c>
      <c r="G43" s="1" t="s">
        <v>21</v>
      </c>
      <c r="H43" s="1" t="s">
        <v>28</v>
      </c>
      <c r="I43" s="4">
        <v>2691</v>
      </c>
      <c r="J43" s="1" t="s">
        <v>27</v>
      </c>
      <c r="K43" s="1">
        <v>2024</v>
      </c>
      <c r="L43" s="1">
        <v>7</v>
      </c>
      <c r="M43" s="1">
        <v>10700</v>
      </c>
      <c r="N43" s="1">
        <v>0.25149532710280376</v>
      </c>
    </row>
    <row r="44" spans="1:14" x14ac:dyDescent="0.35">
      <c r="A44" s="1" t="s">
        <v>14</v>
      </c>
      <c r="B44" s="1">
        <v>8</v>
      </c>
      <c r="C44" s="1" t="s">
        <v>15</v>
      </c>
      <c r="D44" s="2">
        <v>45206</v>
      </c>
      <c r="E44" s="3">
        <v>0.625</v>
      </c>
      <c r="F44" s="1" t="s">
        <v>16</v>
      </c>
      <c r="G44" s="1" t="s">
        <v>56</v>
      </c>
      <c r="H44" s="1" t="s">
        <v>32</v>
      </c>
      <c r="I44" s="4">
        <v>58295</v>
      </c>
      <c r="J44" s="1" t="s">
        <v>19</v>
      </c>
      <c r="K44" s="1">
        <v>2024</v>
      </c>
      <c r="L44" s="1">
        <v>8</v>
      </c>
      <c r="M44" s="1">
        <v>60500</v>
      </c>
      <c r="N44" s="1">
        <v>0.96355371900826448</v>
      </c>
    </row>
    <row r="45" spans="1:14" x14ac:dyDescent="0.35">
      <c r="A45" s="1" t="s">
        <v>14</v>
      </c>
      <c r="B45" s="1">
        <v>8</v>
      </c>
      <c r="C45" s="1" t="s">
        <v>15</v>
      </c>
      <c r="D45" s="2">
        <v>45206</v>
      </c>
      <c r="E45" s="3">
        <v>0.625</v>
      </c>
      <c r="F45" s="1" t="s">
        <v>26</v>
      </c>
      <c r="G45" s="1" t="s">
        <v>51</v>
      </c>
      <c r="H45" s="1" t="s">
        <v>37</v>
      </c>
      <c r="I45" s="4">
        <v>18675</v>
      </c>
      <c r="J45" s="1" t="s">
        <v>50</v>
      </c>
      <c r="K45" s="1">
        <v>2024</v>
      </c>
      <c r="L45" s="1">
        <v>8</v>
      </c>
      <c r="M45" s="1">
        <v>19852</v>
      </c>
      <c r="N45" s="1">
        <v>0.94071126334878097</v>
      </c>
    </row>
    <row r="46" spans="1:14" x14ac:dyDescent="0.35">
      <c r="A46" s="1" t="s">
        <v>14</v>
      </c>
      <c r="B46" s="1">
        <v>8</v>
      </c>
      <c r="C46" s="1" t="s">
        <v>15</v>
      </c>
      <c r="D46" s="2">
        <v>45206</v>
      </c>
      <c r="E46" s="3">
        <v>0.625</v>
      </c>
      <c r="F46" s="1" t="s">
        <v>28</v>
      </c>
      <c r="G46" s="1" t="s">
        <v>43</v>
      </c>
      <c r="H46" s="1" t="s">
        <v>22</v>
      </c>
      <c r="I46" s="4">
        <v>2039</v>
      </c>
      <c r="J46" s="1" t="s">
        <v>31</v>
      </c>
      <c r="K46" s="1">
        <v>2024</v>
      </c>
      <c r="L46" s="1">
        <v>8</v>
      </c>
      <c r="M46" s="1">
        <v>9672</v>
      </c>
      <c r="N46" s="1">
        <v>0.21081472291149711</v>
      </c>
    </row>
    <row r="47" spans="1:14" x14ac:dyDescent="0.35">
      <c r="A47" s="1" t="s">
        <v>14</v>
      </c>
      <c r="B47" s="1">
        <v>8</v>
      </c>
      <c r="C47" s="1" t="s">
        <v>36</v>
      </c>
      <c r="D47" s="2">
        <v>45207</v>
      </c>
      <c r="E47" s="3">
        <v>0.5</v>
      </c>
      <c r="F47" s="1" t="s">
        <v>39</v>
      </c>
      <c r="G47" s="1" t="s">
        <v>54</v>
      </c>
      <c r="H47" s="1" t="s">
        <v>34</v>
      </c>
      <c r="I47" s="4">
        <v>6984</v>
      </c>
      <c r="J47" s="1" t="s">
        <v>46</v>
      </c>
      <c r="K47" s="1">
        <v>2024</v>
      </c>
      <c r="L47" s="1">
        <v>8</v>
      </c>
      <c r="M47" s="1">
        <v>8006</v>
      </c>
      <c r="N47" s="1">
        <v>0.87234574069447912</v>
      </c>
    </row>
    <row r="48" spans="1:14" x14ac:dyDescent="0.35">
      <c r="A48" s="1" t="s">
        <v>14</v>
      </c>
      <c r="B48" s="1">
        <v>8</v>
      </c>
      <c r="C48" s="1" t="s">
        <v>36</v>
      </c>
      <c r="D48" s="2">
        <v>45207</v>
      </c>
      <c r="E48" s="3">
        <v>0.625</v>
      </c>
      <c r="F48" s="1" t="s">
        <v>30</v>
      </c>
      <c r="G48" s="1" t="s">
        <v>29</v>
      </c>
      <c r="H48" s="1" t="s">
        <v>24</v>
      </c>
      <c r="I48" s="4">
        <v>16816</v>
      </c>
      <c r="J48" s="1" t="s">
        <v>48</v>
      </c>
      <c r="K48" s="1">
        <v>2024</v>
      </c>
      <c r="L48" s="1">
        <v>8</v>
      </c>
      <c r="M48" s="1">
        <v>21412</v>
      </c>
      <c r="N48" s="1">
        <v>0.78535400709882308</v>
      </c>
    </row>
    <row r="49" spans="1:14" x14ac:dyDescent="0.35">
      <c r="A49" s="1" t="s">
        <v>14</v>
      </c>
      <c r="B49" s="1">
        <v>8</v>
      </c>
      <c r="C49" s="1" t="s">
        <v>58</v>
      </c>
      <c r="D49" s="2">
        <v>45223</v>
      </c>
      <c r="E49" s="3">
        <v>0.82291666666666663</v>
      </c>
      <c r="F49" s="1" t="s">
        <v>20</v>
      </c>
      <c r="G49" s="1" t="s">
        <v>29</v>
      </c>
      <c r="H49" s="1" t="s">
        <v>18</v>
      </c>
      <c r="I49" s="4">
        <v>4887</v>
      </c>
      <c r="J49" s="1" t="s">
        <v>23</v>
      </c>
      <c r="K49" s="1">
        <v>2024</v>
      </c>
      <c r="L49" s="1">
        <v>8</v>
      </c>
      <c r="M49" s="1">
        <v>11850</v>
      </c>
      <c r="N49" s="1">
        <v>0.41240506329113924</v>
      </c>
    </row>
    <row r="50" spans="1:14" x14ac:dyDescent="0.35">
      <c r="A50" s="1" t="s">
        <v>14</v>
      </c>
      <c r="B50" s="1">
        <v>9</v>
      </c>
      <c r="C50" s="1" t="s">
        <v>15</v>
      </c>
      <c r="D50" s="2">
        <v>45220</v>
      </c>
      <c r="E50" s="3">
        <v>0.625</v>
      </c>
      <c r="F50" s="1" t="s">
        <v>32</v>
      </c>
      <c r="G50" s="1" t="s">
        <v>56</v>
      </c>
      <c r="H50" s="1" t="s">
        <v>28</v>
      </c>
      <c r="I50" s="4">
        <v>4679</v>
      </c>
      <c r="J50" s="1" t="s">
        <v>35</v>
      </c>
      <c r="K50" s="1">
        <v>2024</v>
      </c>
      <c r="L50" s="1">
        <v>9</v>
      </c>
      <c r="M50" s="1">
        <v>18128</v>
      </c>
      <c r="N50" s="1">
        <v>0.25810900264783759</v>
      </c>
    </row>
    <row r="51" spans="1:14" x14ac:dyDescent="0.35">
      <c r="A51" s="1" t="s">
        <v>14</v>
      </c>
      <c r="B51" s="1">
        <v>9</v>
      </c>
      <c r="C51" s="1" t="s">
        <v>15</v>
      </c>
      <c r="D51" s="2">
        <v>45220</v>
      </c>
      <c r="E51" s="3">
        <v>0.625</v>
      </c>
      <c r="F51" s="1" t="s">
        <v>34</v>
      </c>
      <c r="G51" s="1" t="s">
        <v>41</v>
      </c>
      <c r="H51" s="1" t="s">
        <v>37</v>
      </c>
      <c r="I51" s="4">
        <v>49535</v>
      </c>
      <c r="J51" s="1" t="s">
        <v>42</v>
      </c>
      <c r="K51" s="1">
        <v>2024</v>
      </c>
      <c r="L51" s="1">
        <v>9</v>
      </c>
      <c r="M51" s="1">
        <v>51082</v>
      </c>
      <c r="N51" s="1">
        <v>0.96971535961786925</v>
      </c>
    </row>
    <row r="52" spans="1:14" x14ac:dyDescent="0.35">
      <c r="A52" s="1" t="s">
        <v>14</v>
      </c>
      <c r="B52" s="1">
        <v>9</v>
      </c>
      <c r="C52" s="1" t="s">
        <v>36</v>
      </c>
      <c r="D52" s="2">
        <v>45221</v>
      </c>
      <c r="E52" s="3">
        <v>0.59375</v>
      </c>
      <c r="F52" s="1" t="s">
        <v>26</v>
      </c>
      <c r="G52" s="1" t="s">
        <v>57</v>
      </c>
      <c r="H52" s="1" t="s">
        <v>16</v>
      </c>
      <c r="I52" s="4">
        <v>17608</v>
      </c>
      <c r="J52" s="1" t="s">
        <v>50</v>
      </c>
      <c r="K52" s="1">
        <v>2024</v>
      </c>
      <c r="L52" s="1">
        <v>9</v>
      </c>
      <c r="M52" s="1">
        <v>19852</v>
      </c>
      <c r="N52" s="1">
        <v>0.88696353012290952</v>
      </c>
    </row>
    <row r="53" spans="1:14" x14ac:dyDescent="0.35">
      <c r="A53" s="1" t="s">
        <v>14</v>
      </c>
      <c r="B53" s="1">
        <v>9</v>
      </c>
      <c r="C53" s="1" t="s">
        <v>58</v>
      </c>
      <c r="D53" s="2">
        <v>45237</v>
      </c>
      <c r="E53" s="3">
        <v>0.82291666666666663</v>
      </c>
      <c r="F53" s="1" t="s">
        <v>24</v>
      </c>
      <c r="G53" s="1" t="s">
        <v>51</v>
      </c>
      <c r="H53" s="1" t="s">
        <v>22</v>
      </c>
      <c r="I53" s="4">
        <v>3513</v>
      </c>
      <c r="J53" s="1" t="s">
        <v>27</v>
      </c>
      <c r="K53" s="1">
        <v>2024</v>
      </c>
      <c r="L53" s="1">
        <v>9</v>
      </c>
      <c r="M53" s="1">
        <v>10700</v>
      </c>
      <c r="N53" s="1">
        <v>0.32831775700934579</v>
      </c>
    </row>
    <row r="54" spans="1:14" x14ac:dyDescent="0.35">
      <c r="A54" s="1" t="s">
        <v>14</v>
      </c>
      <c r="B54" s="1">
        <v>9</v>
      </c>
      <c r="C54" s="1" t="s">
        <v>58</v>
      </c>
      <c r="D54" s="2">
        <v>45258</v>
      </c>
      <c r="E54" s="3">
        <v>0.82291666666666663</v>
      </c>
      <c r="F54" s="1" t="s">
        <v>18</v>
      </c>
      <c r="G54" s="1" t="s">
        <v>33</v>
      </c>
      <c r="H54" s="1" t="s">
        <v>39</v>
      </c>
      <c r="I54" s="4">
        <v>3758</v>
      </c>
      <c r="J54" s="1" t="s">
        <v>44</v>
      </c>
      <c r="K54" s="1">
        <v>2024</v>
      </c>
      <c r="L54" s="1">
        <v>9</v>
      </c>
      <c r="M54" s="1">
        <v>6541</v>
      </c>
      <c r="N54" s="1">
        <v>0.57452988839626973</v>
      </c>
    </row>
    <row r="55" spans="1:14" x14ac:dyDescent="0.35">
      <c r="A55" s="1" t="s">
        <v>14</v>
      </c>
      <c r="B55" s="1">
        <v>9</v>
      </c>
      <c r="C55" s="1" t="s">
        <v>58</v>
      </c>
      <c r="D55" s="2">
        <v>45321</v>
      </c>
      <c r="E55" s="3">
        <v>0.82291666666666663</v>
      </c>
      <c r="F55" s="1" t="s">
        <v>30</v>
      </c>
      <c r="G55" s="1" t="s">
        <v>21</v>
      </c>
      <c r="H55" s="1" t="s">
        <v>20</v>
      </c>
      <c r="I55" s="4">
        <v>15512</v>
      </c>
      <c r="J55" s="1" t="s">
        <v>48</v>
      </c>
      <c r="K55" s="1">
        <v>2024</v>
      </c>
      <c r="L55" s="1">
        <v>9</v>
      </c>
      <c r="M55" s="1">
        <v>21412</v>
      </c>
      <c r="N55" s="1">
        <v>0.72445357743321503</v>
      </c>
    </row>
    <row r="56" spans="1:14" x14ac:dyDescent="0.35">
      <c r="A56" s="1" t="s">
        <v>14</v>
      </c>
      <c r="B56" s="1">
        <v>10</v>
      </c>
      <c r="C56" s="1" t="s">
        <v>15</v>
      </c>
      <c r="D56" s="2">
        <v>45227</v>
      </c>
      <c r="E56" s="3">
        <v>0.625</v>
      </c>
      <c r="F56" s="1" t="s">
        <v>37</v>
      </c>
      <c r="G56" s="1" t="s">
        <v>29</v>
      </c>
      <c r="H56" s="1" t="s">
        <v>16</v>
      </c>
      <c r="I56" s="4">
        <v>18548</v>
      </c>
      <c r="J56" s="1" t="s">
        <v>40</v>
      </c>
      <c r="K56" s="1">
        <v>2024</v>
      </c>
      <c r="L56" s="1">
        <v>10</v>
      </c>
      <c r="M56" s="1">
        <v>20250</v>
      </c>
      <c r="N56" s="1">
        <v>0.91595061728395066</v>
      </c>
    </row>
    <row r="57" spans="1:14" x14ac:dyDescent="0.35">
      <c r="A57" s="1" t="s">
        <v>14</v>
      </c>
      <c r="B57" s="1">
        <v>10</v>
      </c>
      <c r="C57" s="1" t="s">
        <v>15</v>
      </c>
      <c r="D57" s="2">
        <v>45227</v>
      </c>
      <c r="E57" s="3">
        <v>0.625</v>
      </c>
      <c r="F57" s="1" t="s">
        <v>28</v>
      </c>
      <c r="G57" s="1" t="s">
        <v>25</v>
      </c>
      <c r="H57" s="1" t="s">
        <v>20</v>
      </c>
      <c r="I57" s="4">
        <v>4210</v>
      </c>
      <c r="J57" s="1" t="s">
        <v>31</v>
      </c>
      <c r="K57" s="1">
        <v>2024</v>
      </c>
      <c r="L57" s="1">
        <v>10</v>
      </c>
      <c r="M57" s="1">
        <v>9672</v>
      </c>
      <c r="N57" s="1">
        <v>0.43527708850289498</v>
      </c>
    </row>
    <row r="58" spans="1:14" x14ac:dyDescent="0.35">
      <c r="A58" s="1" t="s">
        <v>14</v>
      </c>
      <c r="B58" s="1">
        <v>10</v>
      </c>
      <c r="C58" s="1" t="s">
        <v>15</v>
      </c>
      <c r="D58" s="2">
        <v>45227</v>
      </c>
      <c r="E58" s="3">
        <v>0.625</v>
      </c>
      <c r="F58" s="1" t="s">
        <v>22</v>
      </c>
      <c r="G58" s="1" t="s">
        <v>59</v>
      </c>
      <c r="H58" s="1" t="s">
        <v>18</v>
      </c>
      <c r="I58" s="4">
        <v>5119</v>
      </c>
      <c r="J58" s="1" t="s">
        <v>49</v>
      </c>
      <c r="K58" s="1">
        <v>2024</v>
      </c>
      <c r="L58" s="1">
        <v>10</v>
      </c>
      <c r="M58" s="1">
        <v>13750</v>
      </c>
      <c r="N58" s="1">
        <v>0.37229090909090912</v>
      </c>
    </row>
    <row r="59" spans="1:14" x14ac:dyDescent="0.35">
      <c r="A59" s="1" t="s">
        <v>14</v>
      </c>
      <c r="B59" s="1">
        <v>10</v>
      </c>
      <c r="C59" s="1" t="s">
        <v>15</v>
      </c>
      <c r="D59" s="2">
        <v>45227</v>
      </c>
      <c r="E59" s="3">
        <v>0.625</v>
      </c>
      <c r="F59" s="1" t="s">
        <v>39</v>
      </c>
      <c r="G59" s="1" t="s">
        <v>41</v>
      </c>
      <c r="H59" s="1" t="s">
        <v>24</v>
      </c>
      <c r="I59" s="4">
        <v>5552</v>
      </c>
      <c r="J59" s="1" t="s">
        <v>46</v>
      </c>
      <c r="K59" s="1">
        <v>2024</v>
      </c>
      <c r="L59" s="1">
        <v>10</v>
      </c>
      <c r="M59" s="1">
        <v>8006</v>
      </c>
      <c r="N59" s="1">
        <v>0.69347989008243816</v>
      </c>
    </row>
    <row r="60" spans="1:14" x14ac:dyDescent="0.35">
      <c r="A60" s="1" t="s">
        <v>14</v>
      </c>
      <c r="B60" s="1">
        <v>10</v>
      </c>
      <c r="C60" s="1" t="s">
        <v>36</v>
      </c>
      <c r="D60" s="2">
        <v>45228</v>
      </c>
      <c r="E60" s="3">
        <v>0.5</v>
      </c>
      <c r="F60" s="1" t="s">
        <v>32</v>
      </c>
      <c r="G60" s="1" t="s">
        <v>43</v>
      </c>
      <c r="H60" s="1" t="s">
        <v>30</v>
      </c>
      <c r="I60" s="4">
        <v>5480</v>
      </c>
      <c r="J60" s="1" t="s">
        <v>35</v>
      </c>
      <c r="K60" s="1">
        <v>2024</v>
      </c>
      <c r="L60" s="1">
        <v>10</v>
      </c>
      <c r="M60" s="1">
        <v>18128</v>
      </c>
      <c r="N60" s="1">
        <v>0.30229479258605474</v>
      </c>
    </row>
    <row r="61" spans="1:14" x14ac:dyDescent="0.35">
      <c r="A61" s="1" t="s">
        <v>14</v>
      </c>
      <c r="B61" s="1">
        <v>10</v>
      </c>
      <c r="C61" s="1" t="s">
        <v>36</v>
      </c>
      <c r="D61" s="2">
        <v>45228</v>
      </c>
      <c r="E61" s="3">
        <v>0.625</v>
      </c>
      <c r="F61" s="1" t="s">
        <v>34</v>
      </c>
      <c r="G61" s="1" t="s">
        <v>45</v>
      </c>
      <c r="H61" s="1" t="s">
        <v>26</v>
      </c>
      <c r="I61" s="4">
        <v>49530</v>
      </c>
      <c r="J61" s="1" t="s">
        <v>42</v>
      </c>
      <c r="K61" s="1">
        <v>2024</v>
      </c>
      <c r="L61" s="1">
        <v>10</v>
      </c>
      <c r="M61" s="1">
        <v>51082</v>
      </c>
      <c r="N61" s="1">
        <v>0.96961747778082297</v>
      </c>
    </row>
    <row r="62" spans="1:14" x14ac:dyDescent="0.35">
      <c r="A62" s="1" t="s">
        <v>14</v>
      </c>
      <c r="B62" s="1">
        <v>11</v>
      </c>
      <c r="C62" s="1" t="s">
        <v>58</v>
      </c>
      <c r="D62" s="2">
        <v>45230</v>
      </c>
      <c r="E62" s="3">
        <v>0.82291666666666663</v>
      </c>
      <c r="F62" s="1" t="s">
        <v>37</v>
      </c>
      <c r="G62" s="1" t="s">
        <v>51</v>
      </c>
      <c r="H62" s="1" t="s">
        <v>18</v>
      </c>
      <c r="I62" s="4">
        <v>15300</v>
      </c>
      <c r="J62" s="1" t="s">
        <v>40</v>
      </c>
      <c r="K62" s="1">
        <v>2024</v>
      </c>
      <c r="L62" s="1">
        <v>11</v>
      </c>
      <c r="M62" s="1">
        <v>20250</v>
      </c>
      <c r="N62" s="1">
        <v>0.75555555555555554</v>
      </c>
    </row>
    <row r="63" spans="1:14" x14ac:dyDescent="0.35">
      <c r="A63" s="1" t="s">
        <v>14</v>
      </c>
      <c r="B63" s="1">
        <v>11</v>
      </c>
      <c r="C63" s="1" t="s">
        <v>60</v>
      </c>
      <c r="D63" s="2">
        <v>45231</v>
      </c>
      <c r="E63" s="3">
        <v>0.82291666666666663</v>
      </c>
      <c r="F63" s="1" t="s">
        <v>16</v>
      </c>
      <c r="G63" s="1" t="s">
        <v>45</v>
      </c>
      <c r="H63" s="1" t="s">
        <v>39</v>
      </c>
      <c r="I63" s="4">
        <v>58168</v>
      </c>
      <c r="J63" s="1" t="s">
        <v>19</v>
      </c>
      <c r="K63" s="1">
        <v>2024</v>
      </c>
      <c r="L63" s="1">
        <v>11</v>
      </c>
      <c r="M63" s="1">
        <v>60500</v>
      </c>
      <c r="N63" s="1">
        <v>0.96145454545454545</v>
      </c>
    </row>
    <row r="64" spans="1:14" x14ac:dyDescent="0.35">
      <c r="A64" s="1" t="s">
        <v>14</v>
      </c>
      <c r="B64" s="1">
        <v>11</v>
      </c>
      <c r="C64" s="1" t="s">
        <v>60</v>
      </c>
      <c r="D64" s="2">
        <v>45231</v>
      </c>
      <c r="E64" s="3">
        <v>0.82291666666666663</v>
      </c>
      <c r="F64" s="1" t="s">
        <v>26</v>
      </c>
      <c r="G64" s="1" t="s">
        <v>33</v>
      </c>
      <c r="H64" s="1" t="s">
        <v>28</v>
      </c>
      <c r="I64" s="4">
        <v>17970</v>
      </c>
      <c r="J64" s="1" t="s">
        <v>50</v>
      </c>
      <c r="K64" s="1">
        <v>2024</v>
      </c>
      <c r="L64" s="1">
        <v>11</v>
      </c>
      <c r="M64" s="1">
        <v>19852</v>
      </c>
      <c r="N64" s="1">
        <v>0.90519846866814424</v>
      </c>
    </row>
    <row r="65" spans="1:14" x14ac:dyDescent="0.35">
      <c r="A65" s="1" t="s">
        <v>14</v>
      </c>
      <c r="B65" s="1">
        <v>11</v>
      </c>
      <c r="C65" s="1" t="s">
        <v>60</v>
      </c>
      <c r="D65" s="2">
        <v>45231</v>
      </c>
      <c r="E65" s="3">
        <v>0.82291666666666663</v>
      </c>
      <c r="F65" s="1" t="s">
        <v>22</v>
      </c>
      <c r="G65" s="1" t="s">
        <v>61</v>
      </c>
      <c r="H65" s="1" t="s">
        <v>30</v>
      </c>
      <c r="I65" s="4">
        <v>4240</v>
      </c>
      <c r="J65" s="1" t="s">
        <v>49</v>
      </c>
      <c r="K65" s="1">
        <v>2024</v>
      </c>
      <c r="L65" s="1">
        <v>11</v>
      </c>
      <c r="M65" s="1">
        <v>13750</v>
      </c>
      <c r="N65" s="1">
        <v>0.30836363636363634</v>
      </c>
    </row>
    <row r="66" spans="1:14" x14ac:dyDescent="0.35">
      <c r="A66" s="1" t="s">
        <v>14</v>
      </c>
      <c r="B66" s="1">
        <v>11</v>
      </c>
      <c r="C66" s="1" t="s">
        <v>60</v>
      </c>
      <c r="D66" s="2">
        <v>45231</v>
      </c>
      <c r="E66" s="3">
        <v>0.82291666666666663</v>
      </c>
      <c r="F66" s="1" t="s">
        <v>24</v>
      </c>
      <c r="G66" s="1" t="s">
        <v>45</v>
      </c>
      <c r="H66" s="1" t="s">
        <v>32</v>
      </c>
      <c r="I66" s="4">
        <v>2840</v>
      </c>
      <c r="J66" s="1" t="s">
        <v>27</v>
      </c>
      <c r="K66" s="1">
        <v>2024</v>
      </c>
      <c r="L66" s="1">
        <v>11</v>
      </c>
      <c r="M66" s="1">
        <v>10700</v>
      </c>
      <c r="N66" s="1">
        <v>0.26542056074766357</v>
      </c>
    </row>
    <row r="67" spans="1:14" x14ac:dyDescent="0.35">
      <c r="A67" s="1" t="s">
        <v>14</v>
      </c>
      <c r="B67" s="1">
        <v>11</v>
      </c>
      <c r="C67" s="1" t="s">
        <v>60</v>
      </c>
      <c r="D67" s="2">
        <v>45231</v>
      </c>
      <c r="E67" s="3">
        <v>0.85416666666666674</v>
      </c>
      <c r="F67" s="1" t="s">
        <v>20</v>
      </c>
      <c r="G67" s="1" t="s">
        <v>62</v>
      </c>
      <c r="H67" s="1" t="s">
        <v>34</v>
      </c>
      <c r="I67" s="4">
        <v>8970</v>
      </c>
      <c r="J67" s="1" t="s">
        <v>23</v>
      </c>
      <c r="K67" s="1">
        <v>2024</v>
      </c>
      <c r="L67" s="1">
        <v>11</v>
      </c>
      <c r="M67" s="1">
        <v>11850</v>
      </c>
      <c r="N67" s="1">
        <v>0.75696202531645573</v>
      </c>
    </row>
    <row r="68" spans="1:14" x14ac:dyDescent="0.35">
      <c r="A68" s="1" t="s">
        <v>14</v>
      </c>
      <c r="B68" s="1">
        <v>12</v>
      </c>
      <c r="C68" s="1" t="s">
        <v>15</v>
      </c>
      <c r="D68" s="2">
        <v>45234</v>
      </c>
      <c r="E68" s="3">
        <v>0.52083333333333337</v>
      </c>
      <c r="F68" s="1" t="s">
        <v>18</v>
      </c>
      <c r="G68" s="1" t="s">
        <v>54</v>
      </c>
      <c r="H68" s="1" t="s">
        <v>16</v>
      </c>
      <c r="I68" s="4">
        <v>6544</v>
      </c>
      <c r="J68" s="1" t="s">
        <v>44</v>
      </c>
      <c r="K68" s="1">
        <v>2024</v>
      </c>
      <c r="L68" s="1">
        <v>12</v>
      </c>
      <c r="M68" s="1">
        <v>6541</v>
      </c>
      <c r="N68" s="1">
        <v>1.0004586454670539</v>
      </c>
    </row>
    <row r="69" spans="1:14" x14ac:dyDescent="0.35">
      <c r="A69" s="1" t="s">
        <v>14</v>
      </c>
      <c r="B69" s="1">
        <v>12</v>
      </c>
      <c r="C69" s="1" t="s">
        <v>15</v>
      </c>
      <c r="D69" s="2">
        <v>45234</v>
      </c>
      <c r="E69" s="3">
        <v>0.625</v>
      </c>
      <c r="F69" s="1" t="s">
        <v>32</v>
      </c>
      <c r="G69" s="1" t="s">
        <v>33</v>
      </c>
      <c r="H69" s="1" t="s">
        <v>22</v>
      </c>
      <c r="I69" s="4">
        <v>5553</v>
      </c>
      <c r="J69" s="1" t="s">
        <v>35</v>
      </c>
      <c r="K69" s="1">
        <v>2024</v>
      </c>
      <c r="L69" s="1">
        <v>12</v>
      </c>
      <c r="M69" s="1">
        <v>18128</v>
      </c>
      <c r="N69" s="1">
        <v>0.30632171226831423</v>
      </c>
    </row>
    <row r="70" spans="1:14" x14ac:dyDescent="0.35">
      <c r="A70" s="1" t="s">
        <v>14</v>
      </c>
      <c r="B70" s="1">
        <v>12</v>
      </c>
      <c r="C70" s="1" t="s">
        <v>60</v>
      </c>
      <c r="D70" s="2">
        <v>45238</v>
      </c>
      <c r="E70" s="3">
        <v>0.82291666666666663</v>
      </c>
      <c r="F70" s="1" t="s">
        <v>39</v>
      </c>
      <c r="G70" s="1" t="s">
        <v>51</v>
      </c>
      <c r="H70" s="1" t="s">
        <v>37</v>
      </c>
      <c r="I70" s="4">
        <v>5963</v>
      </c>
      <c r="J70" s="1" t="s">
        <v>46</v>
      </c>
      <c r="K70" s="1">
        <v>2024</v>
      </c>
      <c r="L70" s="1">
        <v>12</v>
      </c>
      <c r="M70" s="1">
        <v>8006</v>
      </c>
      <c r="N70" s="1">
        <v>0.7448163877092181</v>
      </c>
    </row>
    <row r="71" spans="1:14" x14ac:dyDescent="0.35">
      <c r="A71" s="1" t="s">
        <v>14</v>
      </c>
      <c r="B71" s="1">
        <v>12</v>
      </c>
      <c r="C71" s="1" t="s">
        <v>60</v>
      </c>
      <c r="D71" s="2">
        <v>45280</v>
      </c>
      <c r="E71" s="3">
        <v>0.82291666666666663</v>
      </c>
      <c r="F71" s="1" t="s">
        <v>30</v>
      </c>
      <c r="G71" s="1" t="s">
        <v>45</v>
      </c>
      <c r="H71" s="1" t="s">
        <v>28</v>
      </c>
      <c r="I71" s="4">
        <v>13794</v>
      </c>
      <c r="J71" s="1" t="s">
        <v>48</v>
      </c>
      <c r="K71" s="1">
        <v>2024</v>
      </c>
      <c r="L71" s="1">
        <v>12</v>
      </c>
      <c r="M71" s="1">
        <v>21412</v>
      </c>
      <c r="N71" s="1">
        <v>0.64421819540444614</v>
      </c>
    </row>
    <row r="72" spans="1:14" x14ac:dyDescent="0.35">
      <c r="A72" s="1" t="s">
        <v>14</v>
      </c>
      <c r="B72" s="1">
        <v>12</v>
      </c>
      <c r="C72" s="1" t="s">
        <v>60</v>
      </c>
      <c r="D72" s="2">
        <v>45280</v>
      </c>
      <c r="E72" s="3">
        <v>0.82291666666666663</v>
      </c>
      <c r="F72" s="1" t="s">
        <v>34</v>
      </c>
      <c r="G72" s="1" t="s">
        <v>43</v>
      </c>
      <c r="H72" s="1" t="s">
        <v>24</v>
      </c>
      <c r="I72" s="4">
        <v>46931</v>
      </c>
      <c r="J72" s="1" t="s">
        <v>42</v>
      </c>
      <c r="K72" s="1">
        <v>2024</v>
      </c>
      <c r="L72" s="1">
        <v>12</v>
      </c>
      <c r="M72" s="1">
        <v>51082</v>
      </c>
      <c r="N72" s="1">
        <v>0.91873849888414705</v>
      </c>
    </row>
    <row r="73" spans="1:14" x14ac:dyDescent="0.35">
      <c r="A73" s="1" t="s">
        <v>14</v>
      </c>
      <c r="B73" s="1">
        <v>12</v>
      </c>
      <c r="C73" s="1" t="s">
        <v>58</v>
      </c>
      <c r="D73" s="2">
        <v>45314</v>
      </c>
      <c r="E73" s="3">
        <v>0.82291666666666663</v>
      </c>
      <c r="F73" s="1" t="s">
        <v>26</v>
      </c>
      <c r="G73" s="1" t="s">
        <v>65</v>
      </c>
      <c r="H73" s="1" t="s">
        <v>20</v>
      </c>
      <c r="I73" s="4">
        <v>18185</v>
      </c>
      <c r="J73" s="1" t="s">
        <v>50</v>
      </c>
      <c r="K73" s="1">
        <v>2024</v>
      </c>
      <c r="L73" s="1">
        <v>12</v>
      </c>
      <c r="M73" s="1">
        <v>19852</v>
      </c>
      <c r="N73" s="1">
        <v>0.91602861172677819</v>
      </c>
    </row>
    <row r="74" spans="1:14" x14ac:dyDescent="0.35">
      <c r="A74" s="1" t="s">
        <v>14</v>
      </c>
      <c r="B74" s="1">
        <v>13</v>
      </c>
      <c r="C74" s="1" t="s">
        <v>15</v>
      </c>
      <c r="D74" s="2">
        <v>45241</v>
      </c>
      <c r="E74" s="3">
        <v>0.625</v>
      </c>
      <c r="F74" s="1" t="s">
        <v>20</v>
      </c>
      <c r="G74" s="1" t="s">
        <v>41</v>
      </c>
      <c r="H74" s="1" t="s">
        <v>39</v>
      </c>
      <c r="I74" s="4">
        <v>5496</v>
      </c>
      <c r="J74" s="1" t="s">
        <v>23</v>
      </c>
      <c r="K74" s="1">
        <v>2024</v>
      </c>
      <c r="L74" s="1">
        <v>13</v>
      </c>
      <c r="M74" s="1">
        <v>11850</v>
      </c>
      <c r="N74" s="1">
        <v>0.46379746835443036</v>
      </c>
    </row>
    <row r="75" spans="1:14" x14ac:dyDescent="0.35">
      <c r="A75" s="1" t="s">
        <v>14</v>
      </c>
      <c r="B75" s="1">
        <v>13</v>
      </c>
      <c r="C75" s="1" t="s">
        <v>15</v>
      </c>
      <c r="D75" s="2">
        <v>45241</v>
      </c>
      <c r="E75" s="3">
        <v>0.625</v>
      </c>
      <c r="F75" s="1" t="s">
        <v>37</v>
      </c>
      <c r="G75" s="1" t="s">
        <v>33</v>
      </c>
      <c r="H75" s="1" t="s">
        <v>32</v>
      </c>
      <c r="I75" s="4">
        <v>16250</v>
      </c>
      <c r="J75" s="1" t="s">
        <v>40</v>
      </c>
      <c r="K75" s="1">
        <v>2024</v>
      </c>
      <c r="L75" s="1">
        <v>13</v>
      </c>
      <c r="M75" s="1">
        <v>20250</v>
      </c>
      <c r="N75" s="1">
        <v>0.80246913580246915</v>
      </c>
    </row>
    <row r="76" spans="1:14" x14ac:dyDescent="0.35">
      <c r="A76" s="1" t="s">
        <v>14</v>
      </c>
      <c r="B76" s="1">
        <v>13</v>
      </c>
      <c r="C76" s="1" t="s">
        <v>15</v>
      </c>
      <c r="D76" s="2">
        <v>45241</v>
      </c>
      <c r="E76" s="3">
        <v>0.625</v>
      </c>
      <c r="F76" s="1" t="s">
        <v>22</v>
      </c>
      <c r="G76" s="1" t="s">
        <v>55</v>
      </c>
      <c r="H76" s="1" t="s">
        <v>26</v>
      </c>
      <c r="I76" s="4">
        <v>5884</v>
      </c>
      <c r="J76" s="1" t="s">
        <v>49</v>
      </c>
      <c r="K76" s="1">
        <v>2024</v>
      </c>
      <c r="L76" s="1">
        <v>13</v>
      </c>
      <c r="M76" s="1">
        <v>13750</v>
      </c>
      <c r="N76" s="1">
        <v>0.42792727272727271</v>
      </c>
    </row>
    <row r="77" spans="1:14" x14ac:dyDescent="0.35">
      <c r="A77" s="1" t="s">
        <v>14</v>
      </c>
      <c r="B77" s="1">
        <v>13</v>
      </c>
      <c r="C77" s="1" t="s">
        <v>15</v>
      </c>
      <c r="D77" s="2">
        <v>45241</v>
      </c>
      <c r="E77" s="3">
        <v>0.625</v>
      </c>
      <c r="F77" s="1" t="s">
        <v>24</v>
      </c>
      <c r="G77" s="1" t="s">
        <v>33</v>
      </c>
      <c r="H77" s="1" t="s">
        <v>18</v>
      </c>
      <c r="I77" s="4">
        <v>3018</v>
      </c>
      <c r="J77" s="1" t="s">
        <v>27</v>
      </c>
      <c r="K77" s="1">
        <v>2024</v>
      </c>
      <c r="L77" s="1">
        <v>13</v>
      </c>
      <c r="M77" s="1">
        <v>10700</v>
      </c>
      <c r="N77" s="1">
        <v>0.28205607476635514</v>
      </c>
    </row>
    <row r="78" spans="1:14" x14ac:dyDescent="0.35">
      <c r="A78" s="1" t="s">
        <v>14</v>
      </c>
      <c r="B78" s="1">
        <v>13</v>
      </c>
      <c r="C78" s="1" t="s">
        <v>36</v>
      </c>
      <c r="D78" s="2">
        <v>45242</v>
      </c>
      <c r="E78" s="3">
        <v>0.5</v>
      </c>
      <c r="F78" s="1" t="s">
        <v>28</v>
      </c>
      <c r="G78" s="1" t="s">
        <v>25</v>
      </c>
      <c r="H78" s="1" t="s">
        <v>34</v>
      </c>
      <c r="I78" s="4">
        <v>8089</v>
      </c>
      <c r="J78" s="1" t="s">
        <v>31</v>
      </c>
      <c r="K78" s="1">
        <v>2024</v>
      </c>
      <c r="L78" s="1">
        <v>13</v>
      </c>
      <c r="M78" s="1">
        <v>9672</v>
      </c>
      <c r="N78" s="1">
        <v>0.83633167907361461</v>
      </c>
    </row>
    <row r="79" spans="1:14" x14ac:dyDescent="0.35">
      <c r="A79" s="1" t="s">
        <v>14</v>
      </c>
      <c r="B79" s="1">
        <v>13</v>
      </c>
      <c r="C79" s="1" t="s">
        <v>36</v>
      </c>
      <c r="D79" s="2">
        <v>45242</v>
      </c>
      <c r="E79" s="3">
        <v>0.60416666666666674</v>
      </c>
      <c r="F79" s="1" t="s">
        <v>16</v>
      </c>
      <c r="G79" s="1" t="s">
        <v>63</v>
      </c>
      <c r="H79" s="1" t="s">
        <v>30</v>
      </c>
      <c r="I79" s="4">
        <v>58885</v>
      </c>
      <c r="J79" s="1" t="s">
        <v>19</v>
      </c>
      <c r="K79" s="1">
        <v>2024</v>
      </c>
      <c r="L79" s="1">
        <v>13</v>
      </c>
      <c r="M79" s="1">
        <v>60500</v>
      </c>
      <c r="N79" s="1">
        <v>0.97330578512396693</v>
      </c>
    </row>
    <row r="80" spans="1:14" x14ac:dyDescent="0.35">
      <c r="A80" s="1" t="s">
        <v>14</v>
      </c>
      <c r="B80" s="1">
        <v>14</v>
      </c>
      <c r="C80" s="1" t="s">
        <v>15</v>
      </c>
      <c r="D80" s="2">
        <v>45255</v>
      </c>
      <c r="E80" s="3">
        <v>0.625</v>
      </c>
      <c r="F80" s="1" t="s">
        <v>16</v>
      </c>
      <c r="G80" s="1" t="s">
        <v>21</v>
      </c>
      <c r="H80" s="1" t="s">
        <v>22</v>
      </c>
      <c r="I80" s="4">
        <v>58140</v>
      </c>
      <c r="J80" s="1" t="s">
        <v>19</v>
      </c>
      <c r="K80" s="1">
        <v>2024</v>
      </c>
      <c r="L80" s="1">
        <v>14</v>
      </c>
      <c r="M80" s="1">
        <v>60500</v>
      </c>
      <c r="N80" s="1">
        <v>0.96099173553719008</v>
      </c>
    </row>
    <row r="81" spans="1:14" x14ac:dyDescent="0.35">
      <c r="A81" s="1" t="s">
        <v>14</v>
      </c>
      <c r="B81" s="1">
        <v>14</v>
      </c>
      <c r="C81" s="1" t="s">
        <v>15</v>
      </c>
      <c r="D81" s="2">
        <v>45255</v>
      </c>
      <c r="E81" s="3">
        <v>0.625</v>
      </c>
      <c r="F81" s="1" t="s">
        <v>20</v>
      </c>
      <c r="G81" s="1" t="s">
        <v>55</v>
      </c>
      <c r="H81" s="1" t="s">
        <v>37</v>
      </c>
      <c r="I81" s="4">
        <v>6652</v>
      </c>
      <c r="J81" s="1" t="s">
        <v>23</v>
      </c>
      <c r="K81" s="1">
        <v>2024</v>
      </c>
      <c r="L81" s="1">
        <v>14</v>
      </c>
      <c r="M81" s="1">
        <v>11850</v>
      </c>
      <c r="N81" s="1">
        <v>0.56135021097046411</v>
      </c>
    </row>
    <row r="82" spans="1:14" x14ac:dyDescent="0.35">
      <c r="A82" s="1" t="s">
        <v>14</v>
      </c>
      <c r="B82" s="1">
        <v>14</v>
      </c>
      <c r="C82" s="1" t="s">
        <v>15</v>
      </c>
      <c r="D82" s="2">
        <v>45255</v>
      </c>
      <c r="E82" s="3">
        <v>0.625</v>
      </c>
      <c r="F82" s="1" t="s">
        <v>26</v>
      </c>
      <c r="G82" s="1" t="s">
        <v>33</v>
      </c>
      <c r="H82" s="1" t="s">
        <v>24</v>
      </c>
      <c r="I82" s="4">
        <v>18678</v>
      </c>
      <c r="J82" s="1" t="s">
        <v>50</v>
      </c>
      <c r="K82" s="1">
        <v>2024</v>
      </c>
      <c r="L82" s="1">
        <v>14</v>
      </c>
      <c r="M82" s="1">
        <v>19852</v>
      </c>
      <c r="N82" s="1">
        <v>0.9408623816240177</v>
      </c>
    </row>
    <row r="83" spans="1:14" x14ac:dyDescent="0.35">
      <c r="A83" s="1" t="s">
        <v>14</v>
      </c>
      <c r="B83" s="1">
        <v>14</v>
      </c>
      <c r="C83" s="1" t="s">
        <v>15</v>
      </c>
      <c r="D83" s="2">
        <v>45255</v>
      </c>
      <c r="E83" s="3">
        <v>0.625</v>
      </c>
      <c r="F83" s="1" t="s">
        <v>18</v>
      </c>
      <c r="G83" s="1" t="s">
        <v>29</v>
      </c>
      <c r="H83" s="1" t="s">
        <v>32</v>
      </c>
      <c r="I83" s="4">
        <v>4013</v>
      </c>
      <c r="J83" s="1" t="s">
        <v>44</v>
      </c>
      <c r="K83" s="1">
        <v>2024</v>
      </c>
      <c r="L83" s="1">
        <v>14</v>
      </c>
      <c r="M83" s="1">
        <v>6541</v>
      </c>
      <c r="N83" s="1">
        <v>0.6135147530958569</v>
      </c>
    </row>
    <row r="84" spans="1:14" x14ac:dyDescent="0.35">
      <c r="A84" s="1" t="s">
        <v>14</v>
      </c>
      <c r="B84" s="1">
        <v>14</v>
      </c>
      <c r="C84" s="1" t="s">
        <v>15</v>
      </c>
      <c r="D84" s="2">
        <v>45255</v>
      </c>
      <c r="E84" s="3">
        <v>0.625</v>
      </c>
      <c r="F84" s="1" t="s">
        <v>39</v>
      </c>
      <c r="G84" s="1" t="s">
        <v>33</v>
      </c>
      <c r="H84" s="1" t="s">
        <v>28</v>
      </c>
      <c r="I84" s="4">
        <v>5632</v>
      </c>
      <c r="J84" s="1" t="s">
        <v>46</v>
      </c>
      <c r="K84" s="1">
        <v>2024</v>
      </c>
      <c r="L84" s="1">
        <v>14</v>
      </c>
      <c r="M84" s="1">
        <v>8006</v>
      </c>
      <c r="N84" s="1">
        <v>0.70347239570322262</v>
      </c>
    </row>
    <row r="85" spans="1:14" x14ac:dyDescent="0.35">
      <c r="A85" s="1" t="s">
        <v>14</v>
      </c>
      <c r="B85" s="1">
        <v>14</v>
      </c>
      <c r="C85" s="1" t="s">
        <v>36</v>
      </c>
      <c r="D85" s="2">
        <v>45256</v>
      </c>
      <c r="E85" s="3">
        <v>0.5</v>
      </c>
      <c r="F85" s="1" t="s">
        <v>30</v>
      </c>
      <c r="G85" s="1" t="s">
        <v>21</v>
      </c>
      <c r="H85" s="1" t="s">
        <v>34</v>
      </c>
      <c r="I85" s="4">
        <v>16911</v>
      </c>
      <c r="J85" s="1" t="s">
        <v>48</v>
      </c>
      <c r="K85" s="1">
        <v>2024</v>
      </c>
      <c r="L85" s="1">
        <v>14</v>
      </c>
      <c r="M85" s="1">
        <v>21412</v>
      </c>
      <c r="N85" s="1">
        <v>0.78979077152998323</v>
      </c>
    </row>
    <row r="86" spans="1:14" x14ac:dyDescent="0.35">
      <c r="A86" s="1" t="s">
        <v>14</v>
      </c>
      <c r="B86" s="1">
        <v>15</v>
      </c>
      <c r="C86" s="1" t="s">
        <v>15</v>
      </c>
      <c r="D86" s="2">
        <v>45262</v>
      </c>
      <c r="E86" s="3">
        <v>0.625</v>
      </c>
      <c r="F86" s="1" t="s">
        <v>32</v>
      </c>
      <c r="G86" s="1" t="s">
        <v>52</v>
      </c>
      <c r="H86" s="1" t="s">
        <v>26</v>
      </c>
      <c r="I86" s="4">
        <v>5915</v>
      </c>
      <c r="J86" s="1" t="s">
        <v>35</v>
      </c>
      <c r="K86" s="1">
        <v>2024</v>
      </c>
      <c r="L86" s="1">
        <v>15</v>
      </c>
      <c r="M86" s="1">
        <v>18128</v>
      </c>
      <c r="N86" s="1">
        <v>0.32629082082965577</v>
      </c>
    </row>
    <row r="87" spans="1:14" x14ac:dyDescent="0.35">
      <c r="A87" s="1" t="s">
        <v>14</v>
      </c>
      <c r="B87" s="1">
        <v>15</v>
      </c>
      <c r="C87" s="1" t="s">
        <v>15</v>
      </c>
      <c r="D87" s="2">
        <v>45262</v>
      </c>
      <c r="E87" s="3">
        <v>0.625</v>
      </c>
      <c r="F87" s="1" t="s">
        <v>22</v>
      </c>
      <c r="G87" s="1" t="s">
        <v>59</v>
      </c>
      <c r="H87" s="1" t="s">
        <v>20</v>
      </c>
      <c r="I87" s="4">
        <v>4239</v>
      </c>
      <c r="J87" s="1" t="s">
        <v>49</v>
      </c>
      <c r="K87" s="1">
        <v>2024</v>
      </c>
      <c r="L87" s="1">
        <v>15</v>
      </c>
      <c r="M87" s="1">
        <v>13750</v>
      </c>
      <c r="N87" s="1">
        <v>0.30829090909090912</v>
      </c>
    </row>
    <row r="88" spans="1:14" x14ac:dyDescent="0.35">
      <c r="A88" s="1" t="s">
        <v>14</v>
      </c>
      <c r="B88" s="1">
        <v>15</v>
      </c>
      <c r="C88" s="1" t="s">
        <v>36</v>
      </c>
      <c r="D88" s="2">
        <v>45263</v>
      </c>
      <c r="E88" s="3">
        <v>0.5</v>
      </c>
      <c r="F88" s="1" t="s">
        <v>24</v>
      </c>
      <c r="G88" s="1" t="s">
        <v>47</v>
      </c>
      <c r="H88" s="1" t="s">
        <v>16</v>
      </c>
      <c r="I88" s="4">
        <v>6777</v>
      </c>
      <c r="J88" s="1" t="s">
        <v>27</v>
      </c>
      <c r="K88" s="1">
        <v>2024</v>
      </c>
      <c r="L88" s="1">
        <v>15</v>
      </c>
      <c r="M88" s="1">
        <v>10700</v>
      </c>
      <c r="N88" s="1">
        <v>0.63336448598130846</v>
      </c>
    </row>
    <row r="89" spans="1:14" x14ac:dyDescent="0.35">
      <c r="A89" s="1" t="s">
        <v>14</v>
      </c>
      <c r="B89" s="1">
        <v>15</v>
      </c>
      <c r="C89" s="1" t="s">
        <v>36</v>
      </c>
      <c r="D89" s="2">
        <v>45263</v>
      </c>
      <c r="E89" s="3">
        <v>0.625</v>
      </c>
      <c r="F89" s="1" t="s">
        <v>37</v>
      </c>
      <c r="G89" s="1" t="s">
        <v>43</v>
      </c>
      <c r="H89" s="1" t="s">
        <v>30</v>
      </c>
      <c r="I89" s="4">
        <v>16592</v>
      </c>
      <c r="J89" s="1" t="s">
        <v>40</v>
      </c>
      <c r="K89" s="1">
        <v>2024</v>
      </c>
      <c r="L89" s="1">
        <v>15</v>
      </c>
      <c r="M89" s="1">
        <v>20250</v>
      </c>
      <c r="N89" s="1">
        <v>0.81935802469135799</v>
      </c>
    </row>
    <row r="90" spans="1:14" x14ac:dyDescent="0.35">
      <c r="A90" s="1" t="s">
        <v>14</v>
      </c>
      <c r="B90" s="1">
        <v>15</v>
      </c>
      <c r="C90" s="1" t="s">
        <v>36</v>
      </c>
      <c r="D90" s="2">
        <v>45263</v>
      </c>
      <c r="E90" s="3">
        <v>0.625</v>
      </c>
      <c r="F90" s="1" t="s">
        <v>34</v>
      </c>
      <c r="G90" s="1" t="s">
        <v>43</v>
      </c>
      <c r="H90" s="1" t="s">
        <v>39</v>
      </c>
      <c r="I90" s="4">
        <v>47835</v>
      </c>
      <c r="J90" s="1" t="s">
        <v>42</v>
      </c>
      <c r="K90" s="1">
        <v>2024</v>
      </c>
      <c r="L90" s="1">
        <v>15</v>
      </c>
      <c r="M90" s="1">
        <v>51082</v>
      </c>
      <c r="N90" s="1">
        <v>0.93643553502212129</v>
      </c>
    </row>
    <row r="91" spans="1:14" x14ac:dyDescent="0.35">
      <c r="A91" s="1" t="s">
        <v>14</v>
      </c>
      <c r="B91" s="1">
        <v>15</v>
      </c>
      <c r="C91" s="1" t="s">
        <v>58</v>
      </c>
      <c r="D91" s="2">
        <v>45321</v>
      </c>
      <c r="E91" s="3">
        <v>0.82291666666666663</v>
      </c>
      <c r="F91" s="1" t="s">
        <v>28</v>
      </c>
      <c r="G91" s="1" t="s">
        <v>51</v>
      </c>
      <c r="H91" s="1" t="s">
        <v>18</v>
      </c>
      <c r="I91" s="4">
        <v>1142</v>
      </c>
      <c r="J91" s="1" t="s">
        <v>31</v>
      </c>
      <c r="K91" s="1">
        <v>2024</v>
      </c>
      <c r="L91" s="1">
        <v>15</v>
      </c>
      <c r="M91" s="1">
        <v>9672</v>
      </c>
      <c r="N91" s="1">
        <v>0.11807278742762614</v>
      </c>
    </row>
    <row r="92" spans="1:14" x14ac:dyDescent="0.35">
      <c r="A92" s="1" t="s">
        <v>14</v>
      </c>
      <c r="B92" s="1">
        <v>16</v>
      </c>
      <c r="C92" s="1" t="s">
        <v>36</v>
      </c>
      <c r="D92" s="2">
        <v>45235</v>
      </c>
      <c r="E92" s="3">
        <v>0.58333333333333337</v>
      </c>
      <c r="F92" s="1" t="s">
        <v>20</v>
      </c>
      <c r="G92" s="1" t="s">
        <v>33</v>
      </c>
      <c r="H92" s="1" t="s">
        <v>28</v>
      </c>
      <c r="I92" s="4">
        <v>4769</v>
      </c>
      <c r="J92" s="1" t="s">
        <v>23</v>
      </c>
      <c r="K92" s="1">
        <v>2024</v>
      </c>
      <c r="L92" s="1">
        <v>16</v>
      </c>
      <c r="M92" s="1">
        <v>11850</v>
      </c>
      <c r="N92" s="1">
        <v>0.40244725738396625</v>
      </c>
    </row>
    <row r="93" spans="1:14" x14ac:dyDescent="0.35">
      <c r="A93" s="1" t="s">
        <v>14</v>
      </c>
      <c r="B93" s="1">
        <v>16</v>
      </c>
      <c r="C93" s="1" t="s">
        <v>58</v>
      </c>
      <c r="D93" s="2">
        <v>45265</v>
      </c>
      <c r="E93" s="3">
        <v>0.82291666666666663</v>
      </c>
      <c r="F93" s="1" t="s">
        <v>18</v>
      </c>
      <c r="G93" s="1" t="s">
        <v>53</v>
      </c>
      <c r="H93" s="1" t="s">
        <v>22</v>
      </c>
      <c r="I93" s="4">
        <v>2835</v>
      </c>
      <c r="J93" s="1" t="s">
        <v>44</v>
      </c>
      <c r="K93" s="1">
        <v>2024</v>
      </c>
      <c r="L93" s="1">
        <v>16</v>
      </c>
      <c r="M93" s="1">
        <v>6541</v>
      </c>
      <c r="N93" s="1">
        <v>0.43341996636599911</v>
      </c>
    </row>
    <row r="94" spans="1:14" x14ac:dyDescent="0.35">
      <c r="A94" s="1" t="s">
        <v>14</v>
      </c>
      <c r="B94" s="1">
        <v>16</v>
      </c>
      <c r="C94" s="1" t="s">
        <v>60</v>
      </c>
      <c r="D94" s="2">
        <v>45266</v>
      </c>
      <c r="E94" s="3">
        <v>0.82291666666666663</v>
      </c>
      <c r="F94" s="1" t="s">
        <v>30</v>
      </c>
      <c r="G94" s="1" t="s">
        <v>52</v>
      </c>
      <c r="H94" s="1" t="s">
        <v>32</v>
      </c>
      <c r="I94" s="4">
        <v>13668</v>
      </c>
      <c r="J94" s="1" t="s">
        <v>48</v>
      </c>
      <c r="K94" s="1">
        <v>2024</v>
      </c>
      <c r="L94" s="1">
        <v>16</v>
      </c>
      <c r="M94" s="1">
        <v>21412</v>
      </c>
      <c r="N94" s="1">
        <v>0.63833364468522324</v>
      </c>
    </row>
    <row r="95" spans="1:14" x14ac:dyDescent="0.35">
      <c r="A95" s="1" t="s">
        <v>14</v>
      </c>
      <c r="B95" s="1">
        <v>16</v>
      </c>
      <c r="C95" s="1" t="s">
        <v>60</v>
      </c>
      <c r="D95" s="2">
        <v>45266</v>
      </c>
      <c r="E95" s="3">
        <v>0.82291666666666663</v>
      </c>
      <c r="F95" s="1" t="s">
        <v>16</v>
      </c>
      <c r="G95" s="1" t="s">
        <v>64</v>
      </c>
      <c r="H95" s="1" t="s">
        <v>37</v>
      </c>
      <c r="I95" s="4">
        <v>58892</v>
      </c>
      <c r="J95" s="1" t="s">
        <v>19</v>
      </c>
      <c r="K95" s="1">
        <v>2024</v>
      </c>
      <c r="L95" s="1">
        <v>16</v>
      </c>
      <c r="M95" s="1">
        <v>60500</v>
      </c>
      <c r="N95" s="1">
        <v>0.97342148760330582</v>
      </c>
    </row>
    <row r="96" spans="1:14" x14ac:dyDescent="0.35">
      <c r="A96" s="1" t="s">
        <v>14</v>
      </c>
      <c r="B96" s="1">
        <v>16</v>
      </c>
      <c r="C96" s="1" t="s">
        <v>60</v>
      </c>
      <c r="D96" s="2">
        <v>45266</v>
      </c>
      <c r="E96" s="3">
        <v>0.82291666666666663</v>
      </c>
      <c r="F96" s="1" t="s">
        <v>24</v>
      </c>
      <c r="G96" s="1" t="s">
        <v>33</v>
      </c>
      <c r="H96" s="1" t="s">
        <v>39</v>
      </c>
      <c r="I96" s="4">
        <v>2449</v>
      </c>
      <c r="J96" s="1" t="s">
        <v>27</v>
      </c>
      <c r="K96" s="1">
        <v>2024</v>
      </c>
      <c r="L96" s="1">
        <v>16</v>
      </c>
      <c r="M96" s="1">
        <v>10700</v>
      </c>
      <c r="N96" s="1">
        <v>0.22887850467289719</v>
      </c>
    </row>
    <row r="97" spans="1:14" x14ac:dyDescent="0.35">
      <c r="A97" s="1" t="s">
        <v>14</v>
      </c>
      <c r="B97" s="1">
        <v>16</v>
      </c>
      <c r="C97" s="1" t="s">
        <v>60</v>
      </c>
      <c r="D97" s="2">
        <v>45266</v>
      </c>
      <c r="E97" s="3">
        <v>0.83333333333333337</v>
      </c>
      <c r="F97" s="1" t="s">
        <v>26</v>
      </c>
      <c r="G97" s="1" t="s">
        <v>52</v>
      </c>
      <c r="H97" s="1" t="s">
        <v>34</v>
      </c>
      <c r="I97" s="4">
        <v>17759</v>
      </c>
      <c r="J97" s="1" t="s">
        <v>50</v>
      </c>
      <c r="K97" s="1">
        <v>2024</v>
      </c>
      <c r="L97" s="1">
        <v>16</v>
      </c>
      <c r="M97" s="1">
        <v>19852</v>
      </c>
      <c r="N97" s="1">
        <v>0.89456981664315938</v>
      </c>
    </row>
    <row r="98" spans="1:14" x14ac:dyDescent="0.35">
      <c r="A98" s="1" t="s">
        <v>14</v>
      </c>
      <c r="B98" s="1">
        <v>17</v>
      </c>
      <c r="C98" s="1" t="s">
        <v>15</v>
      </c>
      <c r="D98" s="2">
        <v>45269</v>
      </c>
      <c r="E98" s="3">
        <v>0.625</v>
      </c>
      <c r="F98" s="1" t="s">
        <v>30</v>
      </c>
      <c r="G98" s="1" t="s">
        <v>45</v>
      </c>
      <c r="H98" s="1" t="s">
        <v>26</v>
      </c>
      <c r="I98" s="4">
        <v>16064</v>
      </c>
      <c r="J98" s="1" t="s">
        <v>48</v>
      </c>
      <c r="K98" s="1">
        <v>2024</v>
      </c>
      <c r="L98" s="1">
        <v>17</v>
      </c>
      <c r="M98" s="1">
        <v>21412</v>
      </c>
      <c r="N98" s="1">
        <v>0.75023351391742943</v>
      </c>
    </row>
    <row r="99" spans="1:14" x14ac:dyDescent="0.35">
      <c r="A99" s="1" t="s">
        <v>14</v>
      </c>
      <c r="B99" s="1">
        <v>17</v>
      </c>
      <c r="C99" s="1" t="s">
        <v>15</v>
      </c>
      <c r="D99" s="2">
        <v>45269</v>
      </c>
      <c r="E99" s="3">
        <v>0.625</v>
      </c>
      <c r="F99" s="1" t="s">
        <v>28</v>
      </c>
      <c r="G99" s="1" t="s">
        <v>52</v>
      </c>
      <c r="H99" s="1" t="s">
        <v>37</v>
      </c>
      <c r="I99" s="4">
        <v>3463</v>
      </c>
      <c r="J99" s="1" t="s">
        <v>31</v>
      </c>
      <c r="K99" s="1">
        <v>2024</v>
      </c>
      <c r="L99" s="1">
        <v>17</v>
      </c>
      <c r="M99" s="1">
        <v>9672</v>
      </c>
      <c r="N99" s="1">
        <v>0.35804383788254757</v>
      </c>
    </row>
    <row r="100" spans="1:14" x14ac:dyDescent="0.35">
      <c r="A100" s="1" t="s">
        <v>14</v>
      </c>
      <c r="B100" s="1">
        <v>17</v>
      </c>
      <c r="C100" s="1" t="s">
        <v>15</v>
      </c>
      <c r="D100" s="2">
        <v>45269</v>
      </c>
      <c r="E100" s="3">
        <v>0.625</v>
      </c>
      <c r="F100" s="1" t="s">
        <v>22</v>
      </c>
      <c r="G100" s="1" t="s">
        <v>21</v>
      </c>
      <c r="H100" s="1" t="s">
        <v>24</v>
      </c>
      <c r="I100" s="4">
        <v>3647</v>
      </c>
      <c r="J100" s="1" t="s">
        <v>49</v>
      </c>
      <c r="K100" s="1">
        <v>2024</v>
      </c>
      <c r="L100" s="1">
        <v>17</v>
      </c>
      <c r="M100" s="1">
        <v>13750</v>
      </c>
      <c r="N100" s="1">
        <v>0.26523636363636366</v>
      </c>
    </row>
    <row r="101" spans="1:14" x14ac:dyDescent="0.35">
      <c r="A101" s="1" t="s">
        <v>14</v>
      </c>
      <c r="B101" s="1">
        <v>17</v>
      </c>
      <c r="C101" s="1" t="s">
        <v>15</v>
      </c>
      <c r="D101" s="2">
        <v>45269</v>
      </c>
      <c r="E101" s="3">
        <v>0.625</v>
      </c>
      <c r="F101" s="1" t="s">
        <v>34</v>
      </c>
      <c r="G101" s="1" t="s">
        <v>56</v>
      </c>
      <c r="H101" s="1" t="s">
        <v>20</v>
      </c>
      <c r="I101" s="4">
        <v>47229</v>
      </c>
      <c r="J101" s="1" t="s">
        <v>42</v>
      </c>
      <c r="K101" s="1">
        <v>2024</v>
      </c>
      <c r="L101" s="1">
        <v>17</v>
      </c>
      <c r="M101" s="1">
        <v>51082</v>
      </c>
      <c r="N101" s="1">
        <v>0.9245722563721076</v>
      </c>
    </row>
    <row r="102" spans="1:14" x14ac:dyDescent="0.35">
      <c r="A102" s="1" t="s">
        <v>14</v>
      </c>
      <c r="B102" s="1">
        <v>17</v>
      </c>
      <c r="C102" s="1" t="s">
        <v>15</v>
      </c>
      <c r="D102" s="2">
        <v>45269</v>
      </c>
      <c r="E102" s="3">
        <v>0.625</v>
      </c>
      <c r="F102" s="1" t="s">
        <v>39</v>
      </c>
      <c r="G102" s="1" t="s">
        <v>43</v>
      </c>
      <c r="H102" s="1" t="s">
        <v>18</v>
      </c>
      <c r="I102" s="4">
        <v>5402</v>
      </c>
      <c r="J102" s="1" t="s">
        <v>46</v>
      </c>
      <c r="K102" s="1">
        <v>2024</v>
      </c>
      <c r="L102" s="1">
        <v>17</v>
      </c>
      <c r="M102" s="1">
        <v>8006</v>
      </c>
      <c r="N102" s="1">
        <v>0.67474394204346744</v>
      </c>
    </row>
    <row r="103" spans="1:14" x14ac:dyDescent="0.35">
      <c r="A103" s="1" t="s">
        <v>14</v>
      </c>
      <c r="B103" s="1">
        <v>17</v>
      </c>
      <c r="C103" s="1" t="s">
        <v>36</v>
      </c>
      <c r="D103" s="2">
        <v>45270</v>
      </c>
      <c r="E103" s="3">
        <v>0.5</v>
      </c>
      <c r="F103" s="1" t="s">
        <v>32</v>
      </c>
      <c r="G103" s="1" t="s">
        <v>45</v>
      </c>
      <c r="H103" s="1" t="s">
        <v>16</v>
      </c>
      <c r="I103" s="4">
        <v>7706</v>
      </c>
      <c r="J103" s="1" t="s">
        <v>35</v>
      </c>
      <c r="K103" s="1">
        <v>2024</v>
      </c>
      <c r="L103" s="1">
        <v>17</v>
      </c>
      <c r="M103" s="1">
        <v>18128</v>
      </c>
      <c r="N103" s="1">
        <v>0.42508826125330978</v>
      </c>
    </row>
    <row r="104" spans="1:14" x14ac:dyDescent="0.35">
      <c r="A104" s="1" t="s">
        <v>14</v>
      </c>
      <c r="B104" s="1">
        <v>18</v>
      </c>
      <c r="C104" s="1" t="s">
        <v>15</v>
      </c>
      <c r="D104" s="2">
        <v>45276</v>
      </c>
      <c r="E104" s="3">
        <v>0.625</v>
      </c>
      <c r="F104" s="1" t="s">
        <v>16</v>
      </c>
      <c r="G104" s="1" t="s">
        <v>25</v>
      </c>
      <c r="H104" s="1" t="s">
        <v>26</v>
      </c>
      <c r="I104" s="4">
        <v>58816</v>
      </c>
      <c r="J104" s="1" t="s">
        <v>19</v>
      </c>
      <c r="K104" s="1">
        <v>2024</v>
      </c>
      <c r="L104" s="1">
        <v>18</v>
      </c>
      <c r="M104" s="1">
        <v>60500</v>
      </c>
      <c r="N104" s="1">
        <v>0.97216528925619838</v>
      </c>
    </row>
    <row r="105" spans="1:14" x14ac:dyDescent="0.35">
      <c r="A105" s="1" t="s">
        <v>14</v>
      </c>
      <c r="B105" s="1">
        <v>18</v>
      </c>
      <c r="C105" s="1" t="s">
        <v>15</v>
      </c>
      <c r="D105" s="2">
        <v>45276</v>
      </c>
      <c r="E105" s="3">
        <v>0.625</v>
      </c>
      <c r="F105" s="1" t="s">
        <v>28</v>
      </c>
      <c r="G105" s="1" t="s">
        <v>29</v>
      </c>
      <c r="H105" s="1" t="s">
        <v>32</v>
      </c>
      <c r="I105" s="4">
        <v>2820</v>
      </c>
      <c r="J105" s="1" t="s">
        <v>31</v>
      </c>
      <c r="K105" s="1">
        <v>2024</v>
      </c>
      <c r="L105" s="1">
        <v>18</v>
      </c>
      <c r="M105" s="1">
        <v>9672</v>
      </c>
      <c r="N105" s="1">
        <v>0.29156327543424315</v>
      </c>
    </row>
    <row r="106" spans="1:14" x14ac:dyDescent="0.35">
      <c r="A106" s="1" t="s">
        <v>14</v>
      </c>
      <c r="B106" s="1">
        <v>18</v>
      </c>
      <c r="C106" s="1" t="s">
        <v>15</v>
      </c>
      <c r="D106" s="2">
        <v>45276</v>
      </c>
      <c r="E106" s="3">
        <v>0.625</v>
      </c>
      <c r="F106" s="1" t="s">
        <v>18</v>
      </c>
      <c r="G106" s="1" t="s">
        <v>52</v>
      </c>
      <c r="H106" s="1" t="s">
        <v>20</v>
      </c>
      <c r="I106" s="4">
        <v>4014</v>
      </c>
      <c r="J106" s="1" t="s">
        <v>44</v>
      </c>
      <c r="K106" s="1">
        <v>2024</v>
      </c>
      <c r="L106" s="1">
        <v>18</v>
      </c>
      <c r="M106" s="1">
        <v>6541</v>
      </c>
      <c r="N106" s="1">
        <v>0.61366763491820819</v>
      </c>
    </row>
    <row r="107" spans="1:14" x14ac:dyDescent="0.35">
      <c r="A107" s="1" t="s">
        <v>14</v>
      </c>
      <c r="B107" s="1">
        <v>18</v>
      </c>
      <c r="C107" s="1" t="s">
        <v>15</v>
      </c>
      <c r="D107" s="2">
        <v>45276</v>
      </c>
      <c r="E107" s="3">
        <v>0.625</v>
      </c>
      <c r="F107" s="1" t="s">
        <v>39</v>
      </c>
      <c r="G107" s="1" t="s">
        <v>29</v>
      </c>
      <c r="H107" s="1" t="s">
        <v>22</v>
      </c>
      <c r="I107" s="4">
        <v>5837</v>
      </c>
      <c r="J107" s="1" t="s">
        <v>46</v>
      </c>
      <c r="K107" s="1">
        <v>2024</v>
      </c>
      <c r="L107" s="1">
        <v>18</v>
      </c>
      <c r="M107" s="1">
        <v>8006</v>
      </c>
      <c r="N107" s="1">
        <v>0.72907819135648266</v>
      </c>
    </row>
    <row r="108" spans="1:14" x14ac:dyDescent="0.35">
      <c r="A108" s="1" t="s">
        <v>14</v>
      </c>
      <c r="B108" s="1">
        <v>18</v>
      </c>
      <c r="C108" s="1" t="s">
        <v>60</v>
      </c>
      <c r="D108" s="2">
        <v>45315</v>
      </c>
      <c r="E108" s="3">
        <v>0.82291666666666663</v>
      </c>
      <c r="F108" s="1" t="s">
        <v>37</v>
      </c>
      <c r="G108" s="1" t="s">
        <v>54</v>
      </c>
      <c r="H108" s="1" t="s">
        <v>34</v>
      </c>
      <c r="I108" s="4">
        <v>18607</v>
      </c>
      <c r="J108" s="1" t="s">
        <v>40</v>
      </c>
      <c r="K108" s="1">
        <v>2024</v>
      </c>
      <c r="L108" s="1">
        <v>18</v>
      </c>
      <c r="M108" s="1">
        <v>20250</v>
      </c>
      <c r="N108" s="1">
        <v>0.91886419753086424</v>
      </c>
    </row>
    <row r="109" spans="1:14" x14ac:dyDescent="0.35">
      <c r="A109" s="1" t="s">
        <v>14</v>
      </c>
      <c r="B109" s="1">
        <v>18</v>
      </c>
      <c r="C109" s="1" t="s">
        <v>60</v>
      </c>
      <c r="D109" s="2">
        <v>45315</v>
      </c>
      <c r="E109" s="3">
        <v>0.82291666666666663</v>
      </c>
      <c r="F109" s="1" t="s">
        <v>24</v>
      </c>
      <c r="G109" s="1" t="s">
        <v>21</v>
      </c>
      <c r="H109" s="1" t="s">
        <v>30</v>
      </c>
      <c r="I109" s="4">
        <v>3472</v>
      </c>
      <c r="J109" s="1" t="s">
        <v>27</v>
      </c>
      <c r="K109" s="1">
        <v>2024</v>
      </c>
      <c r="L109" s="1">
        <v>18</v>
      </c>
      <c r="M109" s="1">
        <v>10700</v>
      </c>
      <c r="N109" s="1">
        <v>0.32448598130841122</v>
      </c>
    </row>
    <row r="110" spans="1:14" x14ac:dyDescent="0.35">
      <c r="A110" s="1" t="s">
        <v>14</v>
      </c>
      <c r="B110" s="1">
        <v>19</v>
      </c>
      <c r="C110" s="1" t="s">
        <v>15</v>
      </c>
      <c r="D110" s="2">
        <v>45283</v>
      </c>
      <c r="E110" s="3">
        <v>0.625</v>
      </c>
      <c r="F110" s="1" t="s">
        <v>16</v>
      </c>
      <c r="G110" s="1" t="s">
        <v>43</v>
      </c>
      <c r="H110" s="1" t="s">
        <v>28</v>
      </c>
      <c r="I110" s="4">
        <v>58703</v>
      </c>
      <c r="J110" s="1" t="s">
        <v>19</v>
      </c>
      <c r="K110" s="1">
        <v>2024</v>
      </c>
      <c r="L110" s="1">
        <v>19</v>
      </c>
      <c r="M110" s="1">
        <v>60500</v>
      </c>
      <c r="N110" s="1">
        <v>0.97029752066115704</v>
      </c>
    </row>
    <row r="111" spans="1:14" x14ac:dyDescent="0.35">
      <c r="A111" s="1" t="s">
        <v>14</v>
      </c>
      <c r="B111" s="1">
        <v>19</v>
      </c>
      <c r="C111" s="1" t="s">
        <v>15</v>
      </c>
      <c r="D111" s="2">
        <v>45283</v>
      </c>
      <c r="E111" s="3">
        <v>0.625</v>
      </c>
      <c r="F111" s="1" t="s">
        <v>26</v>
      </c>
      <c r="G111" s="1" t="s">
        <v>43</v>
      </c>
      <c r="H111" s="1" t="s">
        <v>39</v>
      </c>
      <c r="I111" s="4">
        <v>18717</v>
      </c>
      <c r="J111" s="1" t="s">
        <v>50</v>
      </c>
      <c r="K111" s="1">
        <v>2024</v>
      </c>
      <c r="L111" s="1">
        <v>19</v>
      </c>
      <c r="M111" s="1">
        <v>19852</v>
      </c>
      <c r="N111" s="1">
        <v>0.94282691920209549</v>
      </c>
    </row>
    <row r="112" spans="1:14" x14ac:dyDescent="0.35">
      <c r="A112" s="1" t="s">
        <v>14</v>
      </c>
      <c r="B112" s="1">
        <v>19</v>
      </c>
      <c r="C112" s="1" t="s">
        <v>15</v>
      </c>
      <c r="D112" s="2">
        <v>45283</v>
      </c>
      <c r="E112" s="3">
        <v>0.625</v>
      </c>
      <c r="F112" s="1" t="s">
        <v>32</v>
      </c>
      <c r="G112" s="1" t="s">
        <v>45</v>
      </c>
      <c r="H112" s="1" t="s">
        <v>24</v>
      </c>
      <c r="I112" s="4">
        <v>5074</v>
      </c>
      <c r="J112" s="1" t="s">
        <v>35</v>
      </c>
      <c r="K112" s="1">
        <v>2024</v>
      </c>
      <c r="L112" s="1">
        <v>19</v>
      </c>
      <c r="M112" s="1">
        <v>18128</v>
      </c>
      <c r="N112" s="1">
        <v>0.27989849955869373</v>
      </c>
    </row>
    <row r="113" spans="1:14" x14ac:dyDescent="0.35">
      <c r="A113" s="1" t="s">
        <v>14</v>
      </c>
      <c r="B113" s="1">
        <v>19</v>
      </c>
      <c r="C113" s="1" t="s">
        <v>36</v>
      </c>
      <c r="D113" s="2">
        <v>45284</v>
      </c>
      <c r="E113" s="3">
        <v>0.5</v>
      </c>
      <c r="F113" s="1" t="s">
        <v>22</v>
      </c>
      <c r="G113" s="1" t="s">
        <v>25</v>
      </c>
      <c r="H113" s="1" t="s">
        <v>34</v>
      </c>
      <c r="I113" s="4">
        <v>8805</v>
      </c>
      <c r="J113" s="1" t="s">
        <v>49</v>
      </c>
      <c r="K113" s="1">
        <v>2024</v>
      </c>
      <c r="L113" s="1">
        <v>19</v>
      </c>
      <c r="M113" s="1">
        <v>13750</v>
      </c>
      <c r="N113" s="1">
        <v>0.64036363636363636</v>
      </c>
    </row>
    <row r="114" spans="1:14" x14ac:dyDescent="0.35">
      <c r="A114" s="1" t="s">
        <v>14</v>
      </c>
      <c r="B114" s="1">
        <v>19</v>
      </c>
      <c r="C114" s="1" t="s">
        <v>60</v>
      </c>
      <c r="D114" s="2">
        <v>45364</v>
      </c>
      <c r="E114" s="3">
        <v>0.82291666666666663</v>
      </c>
      <c r="F114" s="1" t="s">
        <v>20</v>
      </c>
      <c r="G114" s="1" t="s">
        <v>33</v>
      </c>
      <c r="H114" s="1" t="s">
        <v>30</v>
      </c>
      <c r="I114" s="4">
        <v>8215</v>
      </c>
      <c r="J114" s="1" t="s">
        <v>23</v>
      </c>
      <c r="K114" s="1">
        <v>2024</v>
      </c>
      <c r="L114" s="1">
        <v>19</v>
      </c>
      <c r="M114" s="1">
        <v>11850</v>
      </c>
      <c r="N114" s="1">
        <v>0.69324894514767932</v>
      </c>
    </row>
    <row r="115" spans="1:14" x14ac:dyDescent="0.35">
      <c r="A115" s="1" t="s">
        <v>14</v>
      </c>
      <c r="B115" s="1">
        <v>19</v>
      </c>
      <c r="C115" s="1" t="s">
        <v>60</v>
      </c>
      <c r="D115" s="2">
        <v>45364</v>
      </c>
      <c r="E115" s="3">
        <v>0.82291666666666663</v>
      </c>
      <c r="F115" s="1" t="s">
        <v>18</v>
      </c>
      <c r="G115" s="1" t="s">
        <v>51</v>
      </c>
      <c r="H115" s="1" t="s">
        <v>37</v>
      </c>
      <c r="I115" s="4">
        <v>3774</v>
      </c>
      <c r="J115" s="1" t="s">
        <v>44</v>
      </c>
      <c r="K115" s="1">
        <v>2024</v>
      </c>
      <c r="L115" s="1">
        <v>19</v>
      </c>
      <c r="M115" s="1">
        <v>6541</v>
      </c>
      <c r="N115" s="1">
        <v>0.57697599755389084</v>
      </c>
    </row>
    <row r="116" spans="1:14" x14ac:dyDescent="0.35">
      <c r="A116" s="1" t="s">
        <v>14</v>
      </c>
      <c r="B116" s="1">
        <v>20</v>
      </c>
      <c r="C116" s="1" t="s">
        <v>58</v>
      </c>
      <c r="D116" s="2">
        <v>45286</v>
      </c>
      <c r="E116" s="3">
        <v>0.625</v>
      </c>
      <c r="F116" s="1" t="s">
        <v>20</v>
      </c>
      <c r="G116" s="1" t="s">
        <v>54</v>
      </c>
      <c r="H116" s="1" t="s">
        <v>16</v>
      </c>
      <c r="I116" s="4">
        <v>9144</v>
      </c>
      <c r="J116" s="1" t="s">
        <v>23</v>
      </c>
      <c r="K116" s="1">
        <v>2024</v>
      </c>
      <c r="L116" s="1">
        <v>20</v>
      </c>
      <c r="M116" s="1">
        <v>11850</v>
      </c>
      <c r="N116" s="1">
        <v>0.77164556962025321</v>
      </c>
    </row>
    <row r="117" spans="1:14" x14ac:dyDescent="0.35">
      <c r="A117" s="1" t="s">
        <v>14</v>
      </c>
      <c r="B117" s="1">
        <v>20</v>
      </c>
      <c r="C117" s="1" t="s">
        <v>60</v>
      </c>
      <c r="D117" s="2">
        <v>45287</v>
      </c>
      <c r="E117" s="3">
        <v>0.82291666666666663</v>
      </c>
      <c r="F117" s="1" t="s">
        <v>28</v>
      </c>
      <c r="G117" s="1" t="s">
        <v>29</v>
      </c>
      <c r="H117" s="1" t="s">
        <v>24</v>
      </c>
      <c r="I117" s="4">
        <v>1602</v>
      </c>
      <c r="J117" s="1" t="s">
        <v>31</v>
      </c>
      <c r="K117" s="1">
        <v>2024</v>
      </c>
      <c r="L117" s="1">
        <v>20</v>
      </c>
      <c r="M117" s="1">
        <v>9672</v>
      </c>
      <c r="N117" s="1">
        <v>0.16563275434243177</v>
      </c>
    </row>
    <row r="118" spans="1:14" x14ac:dyDescent="0.35">
      <c r="A118" s="1" t="s">
        <v>14</v>
      </c>
      <c r="B118" s="1">
        <v>20</v>
      </c>
      <c r="C118" s="1" t="s">
        <v>60</v>
      </c>
      <c r="D118" s="2">
        <v>45287</v>
      </c>
      <c r="E118" s="3">
        <v>0.82291666666666663</v>
      </c>
      <c r="F118" s="1" t="s">
        <v>39</v>
      </c>
      <c r="G118" s="1" t="s">
        <v>52</v>
      </c>
      <c r="H118" s="1" t="s">
        <v>32</v>
      </c>
      <c r="I118" s="4">
        <v>7534</v>
      </c>
      <c r="J118" s="1" t="s">
        <v>46</v>
      </c>
      <c r="K118" s="1">
        <v>2024</v>
      </c>
      <c r="L118" s="1">
        <v>20</v>
      </c>
      <c r="M118" s="1">
        <v>8006</v>
      </c>
      <c r="N118" s="1">
        <v>0.94104421683737194</v>
      </c>
    </row>
    <row r="119" spans="1:14" x14ac:dyDescent="0.35">
      <c r="A119" s="1" t="s">
        <v>14</v>
      </c>
      <c r="B119" s="1">
        <v>20</v>
      </c>
      <c r="C119" s="1" t="s">
        <v>60</v>
      </c>
      <c r="D119" s="2">
        <v>45287</v>
      </c>
      <c r="E119" s="3">
        <v>0.83333333333333337</v>
      </c>
      <c r="F119" s="1" t="s">
        <v>37</v>
      </c>
      <c r="G119" s="1" t="s">
        <v>52</v>
      </c>
      <c r="H119" s="1" t="s">
        <v>26</v>
      </c>
      <c r="I119" s="4">
        <v>20150</v>
      </c>
      <c r="J119" s="1" t="s">
        <v>40</v>
      </c>
      <c r="K119" s="1">
        <v>2024</v>
      </c>
      <c r="L119" s="1">
        <v>20</v>
      </c>
      <c r="M119" s="1">
        <v>20250</v>
      </c>
      <c r="N119" s="1">
        <v>0.99506172839506168</v>
      </c>
    </row>
    <row r="120" spans="1:14" x14ac:dyDescent="0.35">
      <c r="A120" s="1" t="s">
        <v>14</v>
      </c>
      <c r="B120" s="1">
        <v>20</v>
      </c>
      <c r="C120" s="1" t="s">
        <v>60</v>
      </c>
      <c r="D120" s="2">
        <v>45336</v>
      </c>
      <c r="E120" s="3">
        <v>0.82291666666666663</v>
      </c>
      <c r="F120" s="1" t="s">
        <v>30</v>
      </c>
      <c r="G120" s="1" t="s">
        <v>59</v>
      </c>
      <c r="H120" s="1" t="s">
        <v>22</v>
      </c>
      <c r="I120" s="4">
        <v>15290</v>
      </c>
      <c r="J120" s="1" t="s">
        <v>48</v>
      </c>
      <c r="K120" s="1">
        <v>2024</v>
      </c>
      <c r="L120" s="1">
        <v>20</v>
      </c>
      <c r="M120" s="1">
        <v>21412</v>
      </c>
      <c r="N120" s="1">
        <v>0.71408555949934616</v>
      </c>
    </row>
    <row r="121" spans="1:14" x14ac:dyDescent="0.35">
      <c r="A121" s="1" t="s">
        <v>14</v>
      </c>
      <c r="B121" s="1">
        <v>20</v>
      </c>
      <c r="C121" s="1" t="s">
        <v>60</v>
      </c>
      <c r="D121" s="2">
        <v>45336</v>
      </c>
      <c r="E121" s="3">
        <v>0.82291666666666663</v>
      </c>
      <c r="F121" s="1" t="s">
        <v>34</v>
      </c>
      <c r="G121" s="1" t="s">
        <v>56</v>
      </c>
      <c r="H121" s="1" t="s">
        <v>18</v>
      </c>
      <c r="I121" s="4">
        <v>48685</v>
      </c>
      <c r="J121" s="1" t="s">
        <v>42</v>
      </c>
      <c r="K121" s="1">
        <v>2024</v>
      </c>
      <c r="L121" s="1">
        <v>20</v>
      </c>
      <c r="M121" s="1">
        <v>51082</v>
      </c>
      <c r="N121" s="1">
        <v>0.95307544731999527</v>
      </c>
    </row>
    <row r="122" spans="1:14" x14ac:dyDescent="0.35">
      <c r="A122" s="1" t="s">
        <v>14</v>
      </c>
      <c r="B122" s="1">
        <v>21</v>
      </c>
      <c r="C122" s="1" t="s">
        <v>15</v>
      </c>
      <c r="D122" s="2">
        <v>45276</v>
      </c>
      <c r="E122" s="3">
        <v>0.625</v>
      </c>
      <c r="F122" s="1" t="s">
        <v>24</v>
      </c>
      <c r="G122" s="1" t="s">
        <v>33</v>
      </c>
      <c r="H122" s="1" t="s">
        <v>37</v>
      </c>
      <c r="I122" s="4">
        <v>4276</v>
      </c>
      <c r="J122" s="1" t="s">
        <v>27</v>
      </c>
      <c r="K122" s="1">
        <v>2024</v>
      </c>
      <c r="L122" s="1">
        <v>21</v>
      </c>
      <c r="M122" s="1">
        <v>10700</v>
      </c>
      <c r="N122" s="1">
        <v>0.39962616822429908</v>
      </c>
    </row>
    <row r="123" spans="1:14" x14ac:dyDescent="0.35">
      <c r="A123" s="1" t="s">
        <v>14</v>
      </c>
      <c r="B123" s="1">
        <v>21</v>
      </c>
      <c r="C123" s="1" t="s">
        <v>15</v>
      </c>
      <c r="D123" s="2">
        <v>45290</v>
      </c>
      <c r="E123" s="3">
        <v>0.52083333333333337</v>
      </c>
      <c r="F123" s="1" t="s">
        <v>16</v>
      </c>
      <c r="G123" s="1" t="s">
        <v>45</v>
      </c>
      <c r="H123" s="1" t="s">
        <v>34</v>
      </c>
      <c r="I123" s="4">
        <v>59664</v>
      </c>
      <c r="J123" s="1" t="s">
        <v>19</v>
      </c>
      <c r="K123" s="1">
        <v>2024</v>
      </c>
      <c r="L123" s="1">
        <v>21</v>
      </c>
      <c r="M123" s="1">
        <v>60500</v>
      </c>
      <c r="N123" s="1">
        <v>0.98618181818181816</v>
      </c>
    </row>
    <row r="124" spans="1:14" x14ac:dyDescent="0.35">
      <c r="A124" s="1" t="s">
        <v>14</v>
      </c>
      <c r="B124" s="1">
        <v>21</v>
      </c>
      <c r="C124" s="1" t="s">
        <v>15</v>
      </c>
      <c r="D124" s="2">
        <v>45290</v>
      </c>
      <c r="E124" s="3">
        <v>0.625</v>
      </c>
      <c r="F124" s="1" t="s">
        <v>30</v>
      </c>
      <c r="G124" s="1" t="s">
        <v>54</v>
      </c>
      <c r="H124" s="1" t="s">
        <v>39</v>
      </c>
      <c r="I124" s="4">
        <v>17029</v>
      </c>
      <c r="J124" s="1" t="s">
        <v>48</v>
      </c>
      <c r="K124" s="1">
        <v>2024</v>
      </c>
      <c r="L124" s="1">
        <v>21</v>
      </c>
      <c r="M124" s="1">
        <v>21412</v>
      </c>
      <c r="N124" s="1">
        <v>0.79530169998131883</v>
      </c>
    </row>
    <row r="125" spans="1:14" x14ac:dyDescent="0.35">
      <c r="A125" s="1" t="s">
        <v>14</v>
      </c>
      <c r="B125" s="1">
        <v>21</v>
      </c>
      <c r="C125" s="1" t="s">
        <v>15</v>
      </c>
      <c r="D125" s="2">
        <v>45290</v>
      </c>
      <c r="E125" s="3">
        <v>0.625</v>
      </c>
      <c r="F125" s="1" t="s">
        <v>26</v>
      </c>
      <c r="G125" s="1" t="s">
        <v>51</v>
      </c>
      <c r="H125" s="1" t="s">
        <v>18</v>
      </c>
      <c r="I125" s="4">
        <v>18288</v>
      </c>
      <c r="J125" s="1" t="s">
        <v>50</v>
      </c>
      <c r="K125" s="1">
        <v>2024</v>
      </c>
      <c r="L125" s="1">
        <v>21</v>
      </c>
      <c r="M125" s="1">
        <v>19852</v>
      </c>
      <c r="N125" s="1">
        <v>0.92121700584323996</v>
      </c>
    </row>
    <row r="126" spans="1:14" x14ac:dyDescent="0.35">
      <c r="A126" s="1" t="s">
        <v>14</v>
      </c>
      <c r="B126" s="1">
        <v>21</v>
      </c>
      <c r="C126" s="1" t="s">
        <v>15</v>
      </c>
      <c r="D126" s="2">
        <v>45290</v>
      </c>
      <c r="E126" s="3">
        <v>0.625</v>
      </c>
      <c r="F126" s="1" t="s">
        <v>32</v>
      </c>
      <c r="G126" s="1" t="s">
        <v>51</v>
      </c>
      <c r="H126" s="1" t="s">
        <v>20</v>
      </c>
      <c r="I126" s="4">
        <v>5780</v>
      </c>
      <c r="J126" s="1" t="s">
        <v>35</v>
      </c>
      <c r="K126" s="1">
        <v>2024</v>
      </c>
      <c r="L126" s="1">
        <v>21</v>
      </c>
      <c r="M126" s="1">
        <v>18128</v>
      </c>
      <c r="N126" s="1">
        <v>0.31884377758164167</v>
      </c>
    </row>
    <row r="127" spans="1:14" x14ac:dyDescent="0.35">
      <c r="A127" s="1" t="s">
        <v>14</v>
      </c>
      <c r="B127" s="1">
        <v>21</v>
      </c>
      <c r="C127" s="1" t="s">
        <v>15</v>
      </c>
      <c r="D127" s="2">
        <v>45290</v>
      </c>
      <c r="E127" s="3">
        <v>0.625</v>
      </c>
      <c r="F127" s="1" t="s">
        <v>22</v>
      </c>
      <c r="G127" s="1" t="s">
        <v>56</v>
      </c>
      <c r="H127" s="1" t="s">
        <v>28</v>
      </c>
      <c r="I127" s="4">
        <v>4076</v>
      </c>
      <c r="J127" s="1" t="s">
        <v>49</v>
      </c>
      <c r="K127" s="1">
        <v>2024</v>
      </c>
      <c r="L127" s="1">
        <v>21</v>
      </c>
      <c r="M127" s="1">
        <v>13750</v>
      </c>
      <c r="N127" s="1">
        <v>0.29643636363636361</v>
      </c>
    </row>
    <row r="128" spans="1:14" x14ac:dyDescent="0.35">
      <c r="A128" s="1" t="s">
        <v>14</v>
      </c>
      <c r="B128" s="1">
        <v>22</v>
      </c>
      <c r="C128" s="1" t="s">
        <v>58</v>
      </c>
      <c r="D128" s="2">
        <v>45293</v>
      </c>
      <c r="E128" s="3">
        <v>0.625</v>
      </c>
      <c r="F128" s="1" t="s">
        <v>37</v>
      </c>
      <c r="G128" s="1" t="s">
        <v>51</v>
      </c>
      <c r="H128" s="1" t="s">
        <v>22</v>
      </c>
      <c r="I128" s="4">
        <v>16796</v>
      </c>
      <c r="J128" s="1" t="s">
        <v>40</v>
      </c>
      <c r="K128" s="1">
        <v>2024</v>
      </c>
      <c r="L128" s="1">
        <v>22</v>
      </c>
      <c r="M128" s="1">
        <v>20250</v>
      </c>
      <c r="N128" s="1">
        <v>0.82943209876543211</v>
      </c>
    </row>
    <row r="129" spans="1:14" x14ac:dyDescent="0.35">
      <c r="A129" s="1" t="s">
        <v>14</v>
      </c>
      <c r="B129" s="1">
        <v>22</v>
      </c>
      <c r="C129" s="1" t="s">
        <v>58</v>
      </c>
      <c r="D129" s="2">
        <v>45293</v>
      </c>
      <c r="E129" s="3">
        <v>0.625</v>
      </c>
      <c r="F129" s="1" t="s">
        <v>28</v>
      </c>
      <c r="G129" s="1" t="s">
        <v>55</v>
      </c>
      <c r="H129" s="1" t="s">
        <v>26</v>
      </c>
      <c r="I129" s="4">
        <v>6161</v>
      </c>
      <c r="J129" s="1" t="s">
        <v>31</v>
      </c>
      <c r="K129" s="1">
        <v>2024</v>
      </c>
      <c r="L129" s="1">
        <v>22</v>
      </c>
      <c r="M129" s="1">
        <v>9672</v>
      </c>
      <c r="N129" s="1">
        <v>0.63699338296112484</v>
      </c>
    </row>
    <row r="130" spans="1:14" x14ac:dyDescent="0.35">
      <c r="A130" s="1" t="s">
        <v>14</v>
      </c>
      <c r="B130" s="1">
        <v>22</v>
      </c>
      <c r="C130" s="1" t="s">
        <v>58</v>
      </c>
      <c r="D130" s="2">
        <v>45293</v>
      </c>
      <c r="E130" s="3">
        <v>0.625</v>
      </c>
      <c r="F130" s="1" t="s">
        <v>34</v>
      </c>
      <c r="G130" s="1" t="s">
        <v>56</v>
      </c>
      <c r="H130" s="1" t="s">
        <v>32</v>
      </c>
      <c r="I130" s="4">
        <v>49250</v>
      </c>
      <c r="J130" s="1" t="s">
        <v>42</v>
      </c>
      <c r="K130" s="1">
        <v>2024</v>
      </c>
      <c r="L130" s="1">
        <v>22</v>
      </c>
      <c r="M130" s="1">
        <v>51082</v>
      </c>
      <c r="N130" s="1">
        <v>0.9641360949062292</v>
      </c>
    </row>
    <row r="131" spans="1:14" x14ac:dyDescent="0.35">
      <c r="A131" s="1" t="s">
        <v>14</v>
      </c>
      <c r="B131" s="1">
        <v>22</v>
      </c>
      <c r="C131" s="1" t="s">
        <v>58</v>
      </c>
      <c r="D131" s="2">
        <v>45293</v>
      </c>
      <c r="E131" s="3">
        <v>0.625</v>
      </c>
      <c r="F131" s="1" t="s">
        <v>18</v>
      </c>
      <c r="G131" s="1" t="s">
        <v>54</v>
      </c>
      <c r="H131" s="1" t="s">
        <v>30</v>
      </c>
      <c r="I131" s="4">
        <v>5791</v>
      </c>
      <c r="J131" s="1" t="s">
        <v>44</v>
      </c>
      <c r="K131" s="1">
        <v>2024</v>
      </c>
      <c r="L131" s="1">
        <v>22</v>
      </c>
      <c r="M131" s="1">
        <v>6541</v>
      </c>
      <c r="N131" s="1">
        <v>0.88533863323650819</v>
      </c>
    </row>
    <row r="132" spans="1:14" x14ac:dyDescent="0.35">
      <c r="A132" s="1" t="s">
        <v>14</v>
      </c>
      <c r="B132" s="1">
        <v>22</v>
      </c>
      <c r="C132" s="1" t="s">
        <v>58</v>
      </c>
      <c r="D132" s="2">
        <v>45293</v>
      </c>
      <c r="E132" s="3">
        <v>0.70833333333333337</v>
      </c>
      <c r="F132" s="1" t="s">
        <v>39</v>
      </c>
      <c r="G132" s="1" t="s">
        <v>54</v>
      </c>
      <c r="H132" s="1" t="s">
        <v>16</v>
      </c>
      <c r="I132" s="4">
        <v>6943</v>
      </c>
      <c r="J132" s="1" t="s">
        <v>46</v>
      </c>
      <c r="K132" s="1">
        <v>2024</v>
      </c>
      <c r="L132" s="1">
        <v>22</v>
      </c>
      <c r="M132" s="1">
        <v>8006</v>
      </c>
      <c r="N132" s="1">
        <v>0.86722458156382709</v>
      </c>
    </row>
    <row r="133" spans="1:14" x14ac:dyDescent="0.35">
      <c r="A133" s="1" t="s">
        <v>14</v>
      </c>
      <c r="B133" s="1">
        <v>22</v>
      </c>
      <c r="C133" s="1" t="s">
        <v>36</v>
      </c>
      <c r="D133" s="2">
        <v>45333</v>
      </c>
      <c r="E133" s="3">
        <v>0.58333333333333337</v>
      </c>
      <c r="F133" s="1" t="s">
        <v>20</v>
      </c>
      <c r="G133" s="1" t="s">
        <v>45</v>
      </c>
      <c r="H133" s="1" t="s">
        <v>24</v>
      </c>
      <c r="I133" s="4">
        <v>7102</v>
      </c>
      <c r="J133" s="1" t="s">
        <v>23</v>
      </c>
      <c r="K133" s="1">
        <v>2024</v>
      </c>
      <c r="L133" s="1">
        <v>22</v>
      </c>
      <c r="M133" s="1">
        <v>11850</v>
      </c>
      <c r="N133" s="1">
        <v>0.59932489451476789</v>
      </c>
    </row>
    <row r="134" spans="1:14" x14ac:dyDescent="0.35">
      <c r="A134" s="1" t="s">
        <v>14</v>
      </c>
      <c r="B134" s="1">
        <v>23</v>
      </c>
      <c r="C134" s="1" t="s">
        <v>15</v>
      </c>
      <c r="D134" s="2">
        <v>45318</v>
      </c>
      <c r="E134" s="3">
        <v>0.52083333333333337</v>
      </c>
      <c r="F134" s="1" t="s">
        <v>39</v>
      </c>
      <c r="G134" s="1" t="s">
        <v>52</v>
      </c>
      <c r="H134" s="1" t="s">
        <v>34</v>
      </c>
      <c r="I134" s="4">
        <v>6665</v>
      </c>
      <c r="J134" s="1" t="s">
        <v>46</v>
      </c>
      <c r="K134" s="1">
        <v>2024</v>
      </c>
      <c r="L134" s="1">
        <v>23</v>
      </c>
      <c r="M134" s="1">
        <v>8006</v>
      </c>
      <c r="N134" s="1">
        <v>0.83250062453160134</v>
      </c>
    </row>
    <row r="135" spans="1:14" x14ac:dyDescent="0.35">
      <c r="A135" s="1" t="s">
        <v>14</v>
      </c>
      <c r="B135" s="1">
        <v>23</v>
      </c>
      <c r="C135" s="1" t="s">
        <v>15</v>
      </c>
      <c r="D135" s="2">
        <v>45318</v>
      </c>
      <c r="E135" s="3">
        <v>0.625</v>
      </c>
      <c r="F135" s="1" t="s">
        <v>16</v>
      </c>
      <c r="G135" s="1" t="s">
        <v>33</v>
      </c>
      <c r="H135" s="1" t="s">
        <v>18</v>
      </c>
      <c r="I135" s="4">
        <v>58850</v>
      </c>
      <c r="J135" s="1" t="s">
        <v>19</v>
      </c>
      <c r="K135" s="1">
        <v>2024</v>
      </c>
      <c r="L135" s="1">
        <v>23</v>
      </c>
      <c r="M135" s="1">
        <v>60500</v>
      </c>
      <c r="N135" s="1">
        <v>0.97272727272727277</v>
      </c>
    </row>
    <row r="136" spans="1:14" x14ac:dyDescent="0.35">
      <c r="A136" s="1" t="s">
        <v>14</v>
      </c>
      <c r="B136" s="1">
        <v>23</v>
      </c>
      <c r="C136" s="1" t="s">
        <v>15</v>
      </c>
      <c r="D136" s="2">
        <v>45318</v>
      </c>
      <c r="E136" s="3">
        <v>0.625</v>
      </c>
      <c r="F136" s="1" t="s">
        <v>26</v>
      </c>
      <c r="G136" s="1" t="s">
        <v>43</v>
      </c>
      <c r="H136" s="1" t="s">
        <v>30</v>
      </c>
      <c r="I136" s="4">
        <v>18790</v>
      </c>
      <c r="J136" s="1" t="s">
        <v>50</v>
      </c>
      <c r="K136" s="1">
        <v>2024</v>
      </c>
      <c r="L136" s="1">
        <v>23</v>
      </c>
      <c r="M136" s="1">
        <v>19852</v>
      </c>
      <c r="N136" s="1">
        <v>0.94650413056618976</v>
      </c>
    </row>
    <row r="137" spans="1:14" x14ac:dyDescent="0.35">
      <c r="A137" s="1" t="s">
        <v>14</v>
      </c>
      <c r="B137" s="1">
        <v>23</v>
      </c>
      <c r="C137" s="1" t="s">
        <v>15</v>
      </c>
      <c r="D137" s="2">
        <v>45318</v>
      </c>
      <c r="E137" s="3">
        <v>0.625</v>
      </c>
      <c r="F137" s="1" t="s">
        <v>32</v>
      </c>
      <c r="G137" s="1" t="s">
        <v>51</v>
      </c>
      <c r="H137" s="1" t="s">
        <v>37</v>
      </c>
      <c r="I137" s="4">
        <v>6501</v>
      </c>
      <c r="J137" s="1" t="s">
        <v>35</v>
      </c>
      <c r="K137" s="1">
        <v>2024</v>
      </c>
      <c r="L137" s="1">
        <v>23</v>
      </c>
      <c r="M137" s="1">
        <v>18128</v>
      </c>
      <c r="N137" s="1">
        <v>0.35861650485436891</v>
      </c>
    </row>
    <row r="138" spans="1:14" x14ac:dyDescent="0.35">
      <c r="A138" s="1" t="s">
        <v>14</v>
      </c>
      <c r="B138" s="1">
        <v>23</v>
      </c>
      <c r="C138" s="1" t="s">
        <v>15</v>
      </c>
      <c r="D138" s="2">
        <v>45318</v>
      </c>
      <c r="E138" s="3">
        <v>0.625</v>
      </c>
      <c r="F138" s="1" t="s">
        <v>28</v>
      </c>
      <c r="G138" s="1" t="s">
        <v>57</v>
      </c>
      <c r="H138" s="1" t="s">
        <v>20</v>
      </c>
      <c r="I138" s="4">
        <v>1906</v>
      </c>
      <c r="J138" s="1" t="s">
        <v>31</v>
      </c>
      <c r="K138" s="1">
        <v>2024</v>
      </c>
      <c r="L138" s="1">
        <v>23</v>
      </c>
      <c r="M138" s="1">
        <v>9672</v>
      </c>
      <c r="N138" s="1">
        <v>0.19706368899917287</v>
      </c>
    </row>
    <row r="139" spans="1:14" x14ac:dyDescent="0.35">
      <c r="A139" s="1" t="s">
        <v>14</v>
      </c>
      <c r="B139" s="1">
        <v>23</v>
      </c>
      <c r="C139" s="1" t="s">
        <v>15</v>
      </c>
      <c r="D139" s="2">
        <v>45318</v>
      </c>
      <c r="E139" s="3">
        <v>0.625</v>
      </c>
      <c r="F139" s="1" t="s">
        <v>24</v>
      </c>
      <c r="G139" s="1" t="s">
        <v>21</v>
      </c>
      <c r="H139" s="1" t="s">
        <v>22</v>
      </c>
      <c r="I139" s="4">
        <v>3412</v>
      </c>
      <c r="J139" s="1" t="s">
        <v>27</v>
      </c>
      <c r="K139" s="1">
        <v>2024</v>
      </c>
      <c r="L139" s="1">
        <v>23</v>
      </c>
      <c r="M139" s="1">
        <v>10700</v>
      </c>
      <c r="N139" s="1">
        <v>0.31887850467289719</v>
      </c>
    </row>
    <row r="140" spans="1:14" x14ac:dyDescent="0.35">
      <c r="A140" s="1" t="s">
        <v>14</v>
      </c>
      <c r="B140" s="1">
        <v>24</v>
      </c>
      <c r="C140" s="1" t="s">
        <v>15</v>
      </c>
      <c r="D140" s="2">
        <v>45325</v>
      </c>
      <c r="E140" s="3">
        <v>0.52083333333333337</v>
      </c>
      <c r="F140" s="1" t="s">
        <v>30</v>
      </c>
      <c r="G140" s="1" t="s">
        <v>21</v>
      </c>
      <c r="H140" s="1" t="s">
        <v>16</v>
      </c>
      <c r="I140" s="4">
        <v>17002</v>
      </c>
      <c r="J140" s="1" t="s">
        <v>48</v>
      </c>
      <c r="K140" s="1">
        <v>2024</v>
      </c>
      <c r="L140" s="1">
        <v>24</v>
      </c>
      <c r="M140" s="1">
        <v>21412</v>
      </c>
      <c r="N140" s="1">
        <v>0.79404072482719967</v>
      </c>
    </row>
    <row r="141" spans="1:14" x14ac:dyDescent="0.35">
      <c r="A141" s="1" t="s">
        <v>14</v>
      </c>
      <c r="B141" s="1">
        <v>24</v>
      </c>
      <c r="C141" s="1" t="s">
        <v>15</v>
      </c>
      <c r="D141" s="2">
        <v>45325</v>
      </c>
      <c r="E141" s="3">
        <v>0.625</v>
      </c>
      <c r="F141" s="1" t="s">
        <v>20</v>
      </c>
      <c r="G141" s="1" t="s">
        <v>38</v>
      </c>
      <c r="H141" s="1" t="s">
        <v>26</v>
      </c>
      <c r="I141" s="4">
        <v>7506</v>
      </c>
      <c r="J141" s="1" t="s">
        <v>23</v>
      </c>
      <c r="K141" s="1">
        <v>2024</v>
      </c>
      <c r="L141" s="1">
        <v>24</v>
      </c>
      <c r="M141" s="1">
        <v>11850</v>
      </c>
      <c r="N141" s="1">
        <v>0.63341772151898734</v>
      </c>
    </row>
    <row r="142" spans="1:14" x14ac:dyDescent="0.35">
      <c r="A142" s="1" t="s">
        <v>14</v>
      </c>
      <c r="B142" s="1">
        <v>24</v>
      </c>
      <c r="C142" s="1" t="s">
        <v>15</v>
      </c>
      <c r="D142" s="2">
        <v>45325</v>
      </c>
      <c r="E142" s="3">
        <v>0.625</v>
      </c>
      <c r="F142" s="1" t="s">
        <v>37</v>
      </c>
      <c r="G142" s="1" t="s">
        <v>54</v>
      </c>
      <c r="H142" s="1" t="s">
        <v>39</v>
      </c>
      <c r="I142" s="4">
        <v>16689</v>
      </c>
      <c r="J142" s="1" t="s">
        <v>40</v>
      </c>
      <c r="K142" s="1">
        <v>2024</v>
      </c>
      <c r="L142" s="1">
        <v>24</v>
      </c>
      <c r="M142" s="1">
        <v>20250</v>
      </c>
      <c r="N142" s="1">
        <v>0.82414814814814819</v>
      </c>
    </row>
    <row r="143" spans="1:14" x14ac:dyDescent="0.35">
      <c r="A143" s="1" t="s">
        <v>14</v>
      </c>
      <c r="B143" s="1">
        <v>24</v>
      </c>
      <c r="C143" s="1" t="s">
        <v>15</v>
      </c>
      <c r="D143" s="2">
        <v>45325</v>
      </c>
      <c r="E143" s="3">
        <v>0.625</v>
      </c>
      <c r="F143" s="1" t="s">
        <v>22</v>
      </c>
      <c r="G143" s="1" t="s">
        <v>21</v>
      </c>
      <c r="H143" s="1" t="s">
        <v>32</v>
      </c>
      <c r="I143" s="4">
        <v>5491</v>
      </c>
      <c r="J143" s="1" t="s">
        <v>49</v>
      </c>
      <c r="K143" s="1">
        <v>2024</v>
      </c>
      <c r="L143" s="1">
        <v>24</v>
      </c>
      <c r="M143" s="1">
        <v>13750</v>
      </c>
      <c r="N143" s="1">
        <v>0.39934545454545456</v>
      </c>
    </row>
    <row r="144" spans="1:14" x14ac:dyDescent="0.35">
      <c r="A144" s="1" t="s">
        <v>14</v>
      </c>
      <c r="B144" s="1">
        <v>24</v>
      </c>
      <c r="C144" s="1" t="s">
        <v>15</v>
      </c>
      <c r="D144" s="2">
        <v>45325</v>
      </c>
      <c r="E144" s="3">
        <v>0.625</v>
      </c>
      <c r="F144" s="1" t="s">
        <v>34</v>
      </c>
      <c r="G144" s="1" t="s">
        <v>53</v>
      </c>
      <c r="H144" s="1" t="s">
        <v>28</v>
      </c>
      <c r="I144" s="4">
        <v>49688</v>
      </c>
      <c r="J144" s="1" t="s">
        <v>42</v>
      </c>
      <c r="K144" s="1">
        <v>2024</v>
      </c>
      <c r="L144" s="1">
        <v>24</v>
      </c>
      <c r="M144" s="1">
        <v>51082</v>
      </c>
      <c r="N144" s="1">
        <v>0.97271054383148658</v>
      </c>
    </row>
    <row r="145" spans="1:14" x14ac:dyDescent="0.35">
      <c r="A145" s="1" t="s">
        <v>14</v>
      </c>
      <c r="B145" s="1">
        <v>24</v>
      </c>
      <c r="C145" s="1" t="s">
        <v>15</v>
      </c>
      <c r="D145" s="2">
        <v>45325</v>
      </c>
      <c r="E145" s="3">
        <v>0.625</v>
      </c>
      <c r="F145" s="1" t="s">
        <v>18</v>
      </c>
      <c r="G145" s="1" t="s">
        <v>52</v>
      </c>
      <c r="H145" s="1" t="s">
        <v>24</v>
      </c>
      <c r="I145" s="4">
        <v>3086</v>
      </c>
      <c r="J145" s="1" t="s">
        <v>44</v>
      </c>
      <c r="K145" s="1">
        <v>2024</v>
      </c>
      <c r="L145" s="1">
        <v>24</v>
      </c>
      <c r="M145" s="1">
        <v>6541</v>
      </c>
      <c r="N145" s="1">
        <v>0.47179330377618101</v>
      </c>
    </row>
    <row r="146" spans="1:14" x14ac:dyDescent="0.35">
      <c r="A146" s="1" t="s">
        <v>14</v>
      </c>
      <c r="B146" s="1">
        <v>25</v>
      </c>
      <c r="C146" s="1" t="s">
        <v>58</v>
      </c>
      <c r="D146" s="2">
        <v>45328</v>
      </c>
      <c r="E146" s="3">
        <v>0.82291666666666663</v>
      </c>
      <c r="F146" s="1" t="s">
        <v>22</v>
      </c>
      <c r="G146" s="1" t="s">
        <v>66</v>
      </c>
      <c r="H146" s="1" t="s">
        <v>18</v>
      </c>
      <c r="I146" s="4">
        <v>3724</v>
      </c>
      <c r="J146" s="1" t="s">
        <v>49</v>
      </c>
      <c r="K146" s="1">
        <v>2024</v>
      </c>
      <c r="L146" s="1">
        <v>25</v>
      </c>
      <c r="M146" s="1">
        <v>13750</v>
      </c>
      <c r="N146" s="1">
        <v>0.27083636363636365</v>
      </c>
    </row>
    <row r="147" spans="1:14" x14ac:dyDescent="0.35">
      <c r="A147" s="1" t="s">
        <v>14</v>
      </c>
      <c r="B147" s="1">
        <v>25</v>
      </c>
      <c r="C147" s="1" t="s">
        <v>58</v>
      </c>
      <c r="D147" s="2">
        <v>45328</v>
      </c>
      <c r="E147" s="3">
        <v>0.83333333333333337</v>
      </c>
      <c r="F147" s="1" t="s">
        <v>34</v>
      </c>
      <c r="G147" s="1" t="s">
        <v>45</v>
      </c>
      <c r="H147" s="1" t="s">
        <v>30</v>
      </c>
      <c r="I147" s="4">
        <v>49329</v>
      </c>
      <c r="J147" s="1" t="s">
        <v>42</v>
      </c>
      <c r="K147" s="1">
        <v>2024</v>
      </c>
      <c r="L147" s="1">
        <v>25</v>
      </c>
      <c r="M147" s="1">
        <v>51082</v>
      </c>
      <c r="N147" s="1">
        <v>0.96568262793156101</v>
      </c>
    </row>
    <row r="148" spans="1:14" x14ac:dyDescent="0.35">
      <c r="A148" s="1" t="s">
        <v>14</v>
      </c>
      <c r="B148" s="1">
        <v>25</v>
      </c>
      <c r="C148" s="1" t="s">
        <v>60</v>
      </c>
      <c r="D148" s="2">
        <v>45329</v>
      </c>
      <c r="E148" s="3">
        <v>0.82291666666666663</v>
      </c>
      <c r="F148" s="1" t="s">
        <v>32</v>
      </c>
      <c r="G148" s="1" t="s">
        <v>33</v>
      </c>
      <c r="H148" s="1" t="s">
        <v>28</v>
      </c>
      <c r="I148" s="4">
        <v>4328</v>
      </c>
      <c r="J148" s="1" t="s">
        <v>35</v>
      </c>
      <c r="K148" s="1">
        <v>2024</v>
      </c>
      <c r="L148" s="1">
        <v>25</v>
      </c>
      <c r="M148" s="1">
        <v>18128</v>
      </c>
      <c r="N148" s="1">
        <v>0.23874669020300088</v>
      </c>
    </row>
    <row r="149" spans="1:14" x14ac:dyDescent="0.35">
      <c r="A149" s="1" t="s">
        <v>14</v>
      </c>
      <c r="B149" s="1">
        <v>25</v>
      </c>
      <c r="C149" s="1" t="s">
        <v>60</v>
      </c>
      <c r="D149" s="2">
        <v>45329</v>
      </c>
      <c r="E149" s="3">
        <v>0.82291666666666663</v>
      </c>
      <c r="F149" s="1" t="s">
        <v>24</v>
      </c>
      <c r="G149" s="1" t="s">
        <v>52</v>
      </c>
      <c r="H149" s="1" t="s">
        <v>26</v>
      </c>
      <c r="I149" s="4">
        <v>4518</v>
      </c>
      <c r="J149" s="1" t="s">
        <v>27</v>
      </c>
      <c r="K149" s="1">
        <v>2024</v>
      </c>
      <c r="L149" s="1">
        <v>25</v>
      </c>
      <c r="M149" s="1">
        <v>10700</v>
      </c>
      <c r="N149" s="1">
        <v>0.42224299065420562</v>
      </c>
    </row>
    <row r="150" spans="1:14" x14ac:dyDescent="0.35">
      <c r="A150" s="1" t="s">
        <v>14</v>
      </c>
      <c r="B150" s="1">
        <v>25</v>
      </c>
      <c r="C150" s="1" t="s">
        <v>60</v>
      </c>
      <c r="D150" s="2">
        <v>45329</v>
      </c>
      <c r="E150" s="3">
        <v>0.83333333333333337</v>
      </c>
      <c r="F150" s="1" t="s">
        <v>37</v>
      </c>
      <c r="G150" s="1" t="s">
        <v>55</v>
      </c>
      <c r="H150" s="1" t="s">
        <v>16</v>
      </c>
      <c r="I150" s="4">
        <v>18303</v>
      </c>
      <c r="J150" s="1" t="s">
        <v>40</v>
      </c>
      <c r="K150" s="1">
        <v>2024</v>
      </c>
      <c r="L150" s="1">
        <v>25</v>
      </c>
      <c r="M150" s="1">
        <v>20250</v>
      </c>
      <c r="N150" s="1">
        <v>0.90385185185185191</v>
      </c>
    </row>
    <row r="151" spans="1:14" x14ac:dyDescent="0.35">
      <c r="A151" s="1" t="s">
        <v>14</v>
      </c>
      <c r="B151" s="1">
        <v>25</v>
      </c>
      <c r="C151" s="1" t="s">
        <v>60</v>
      </c>
      <c r="D151" s="2">
        <v>45329</v>
      </c>
      <c r="E151" s="3">
        <v>0.84375</v>
      </c>
      <c r="F151" s="1" t="s">
        <v>39</v>
      </c>
      <c r="G151" s="1" t="s">
        <v>43</v>
      </c>
      <c r="H151" s="1" t="s">
        <v>20</v>
      </c>
      <c r="I151" s="4">
        <v>5737</v>
      </c>
      <c r="J151" s="1" t="s">
        <v>46</v>
      </c>
      <c r="K151" s="1">
        <v>2024</v>
      </c>
      <c r="L151" s="1">
        <v>25</v>
      </c>
      <c r="M151" s="1">
        <v>8006</v>
      </c>
      <c r="N151" s="1">
        <v>0.71658755933050211</v>
      </c>
    </row>
    <row r="152" spans="1:14" x14ac:dyDescent="0.35">
      <c r="A152" s="1" t="s">
        <v>14</v>
      </c>
      <c r="B152" s="1">
        <v>26</v>
      </c>
      <c r="C152" s="1" t="s">
        <v>15</v>
      </c>
      <c r="D152" s="2">
        <v>45339</v>
      </c>
      <c r="E152" s="3">
        <v>0.625</v>
      </c>
      <c r="F152" s="1" t="s">
        <v>30</v>
      </c>
      <c r="G152" s="1" t="s">
        <v>51</v>
      </c>
      <c r="H152" s="1" t="s">
        <v>37</v>
      </c>
      <c r="I152" s="4">
        <v>18329</v>
      </c>
      <c r="J152" s="1" t="s">
        <v>48</v>
      </c>
      <c r="K152" s="1">
        <v>2024</v>
      </c>
      <c r="L152" s="1">
        <v>26</v>
      </c>
      <c r="M152" s="1">
        <v>21412</v>
      </c>
      <c r="N152" s="1">
        <v>0.8560153185129834</v>
      </c>
    </row>
    <row r="153" spans="1:14" x14ac:dyDescent="0.35">
      <c r="A153" s="1" t="s">
        <v>14</v>
      </c>
      <c r="B153" s="1">
        <v>26</v>
      </c>
      <c r="C153" s="1" t="s">
        <v>15</v>
      </c>
      <c r="D153" s="2">
        <v>45339</v>
      </c>
      <c r="E153" s="3">
        <v>0.625</v>
      </c>
      <c r="F153" s="1" t="s">
        <v>16</v>
      </c>
      <c r="G153" s="1" t="s">
        <v>21</v>
      </c>
      <c r="H153" s="1" t="s">
        <v>32</v>
      </c>
      <c r="I153" s="4">
        <v>58887</v>
      </c>
      <c r="J153" s="1" t="s">
        <v>19</v>
      </c>
      <c r="K153" s="1">
        <v>2024</v>
      </c>
      <c r="L153" s="1">
        <v>26</v>
      </c>
      <c r="M153" s="1">
        <v>60500</v>
      </c>
      <c r="N153" s="1">
        <v>0.97333884297520656</v>
      </c>
    </row>
    <row r="154" spans="1:14" x14ac:dyDescent="0.35">
      <c r="A154" s="1" t="s">
        <v>14</v>
      </c>
      <c r="B154" s="1">
        <v>26</v>
      </c>
      <c r="C154" s="1" t="s">
        <v>15</v>
      </c>
      <c r="D154" s="2">
        <v>45339</v>
      </c>
      <c r="E154" s="3">
        <v>0.625</v>
      </c>
      <c r="F154" s="1" t="s">
        <v>20</v>
      </c>
      <c r="G154" s="1" t="s">
        <v>43</v>
      </c>
      <c r="H154" s="1" t="s">
        <v>18</v>
      </c>
      <c r="I154" s="4">
        <v>5846</v>
      </c>
      <c r="J154" s="1" t="s">
        <v>23</v>
      </c>
      <c r="K154" s="1">
        <v>2024</v>
      </c>
      <c r="L154" s="1">
        <v>26</v>
      </c>
      <c r="M154" s="1">
        <v>11850</v>
      </c>
      <c r="N154" s="1">
        <v>0.49333333333333335</v>
      </c>
    </row>
    <row r="155" spans="1:14" x14ac:dyDescent="0.35">
      <c r="A155" s="1" t="s">
        <v>14</v>
      </c>
      <c r="B155" s="1">
        <v>26</v>
      </c>
      <c r="C155" s="1" t="s">
        <v>15</v>
      </c>
      <c r="D155" s="2">
        <v>45339</v>
      </c>
      <c r="E155" s="3">
        <v>0.625</v>
      </c>
      <c r="F155" s="1" t="s">
        <v>26</v>
      </c>
      <c r="G155" s="1" t="s">
        <v>43</v>
      </c>
      <c r="H155" s="1" t="s">
        <v>22</v>
      </c>
      <c r="I155" s="4">
        <v>18748</v>
      </c>
      <c r="J155" s="1" t="s">
        <v>50</v>
      </c>
      <c r="K155" s="1">
        <v>2024</v>
      </c>
      <c r="L155" s="1">
        <v>26</v>
      </c>
      <c r="M155" s="1">
        <v>19852</v>
      </c>
      <c r="N155" s="1">
        <v>0.94438847471287524</v>
      </c>
    </row>
    <row r="156" spans="1:14" x14ac:dyDescent="0.35">
      <c r="A156" s="1" t="s">
        <v>14</v>
      </c>
      <c r="B156" s="1">
        <v>26</v>
      </c>
      <c r="C156" s="1" t="s">
        <v>15</v>
      </c>
      <c r="D156" s="2">
        <v>45339</v>
      </c>
      <c r="E156" s="3">
        <v>0.625</v>
      </c>
      <c r="F156" s="1" t="s">
        <v>28</v>
      </c>
      <c r="G156" s="1" t="s">
        <v>33</v>
      </c>
      <c r="H156" s="1" t="s">
        <v>39</v>
      </c>
      <c r="I156" s="4">
        <v>2120</v>
      </c>
      <c r="J156" s="1" t="s">
        <v>31</v>
      </c>
      <c r="K156" s="1">
        <v>2024</v>
      </c>
      <c r="L156" s="1">
        <v>26</v>
      </c>
      <c r="M156" s="1">
        <v>9672</v>
      </c>
      <c r="N156" s="1">
        <v>0.21918941273779982</v>
      </c>
    </row>
    <row r="157" spans="1:14" x14ac:dyDescent="0.35">
      <c r="A157" s="1" t="s">
        <v>14</v>
      </c>
      <c r="B157" s="1">
        <v>26</v>
      </c>
      <c r="C157" s="1" t="s">
        <v>36</v>
      </c>
      <c r="D157" s="2">
        <v>45340</v>
      </c>
      <c r="E157" s="3">
        <v>0.5</v>
      </c>
      <c r="F157" s="1" t="s">
        <v>24</v>
      </c>
      <c r="G157" s="1" t="s">
        <v>54</v>
      </c>
      <c r="H157" s="1" t="s">
        <v>34</v>
      </c>
      <c r="I157" s="4">
        <v>6986</v>
      </c>
      <c r="J157" s="1" t="s">
        <v>27</v>
      </c>
      <c r="K157" s="1">
        <v>2024</v>
      </c>
      <c r="L157" s="1">
        <v>26</v>
      </c>
      <c r="M157" s="1">
        <v>10700</v>
      </c>
      <c r="N157" s="1">
        <v>0.65289719626168219</v>
      </c>
    </row>
    <row r="158" spans="1:14" x14ac:dyDescent="0.35">
      <c r="A158" s="1" t="s">
        <v>14</v>
      </c>
      <c r="B158" s="1">
        <v>27</v>
      </c>
      <c r="C158" s="1" t="s">
        <v>15</v>
      </c>
      <c r="D158" s="2">
        <v>45346</v>
      </c>
      <c r="E158" s="3">
        <v>0.625</v>
      </c>
      <c r="F158" s="1" t="s">
        <v>37</v>
      </c>
      <c r="G158" s="1" t="s">
        <v>45</v>
      </c>
      <c r="H158" s="1" t="s">
        <v>20</v>
      </c>
      <c r="I158" s="4">
        <v>16102</v>
      </c>
      <c r="J158" s="1" t="s">
        <v>40</v>
      </c>
      <c r="K158" s="1">
        <v>2024</v>
      </c>
      <c r="L158" s="1">
        <v>27</v>
      </c>
      <c r="M158" s="1">
        <v>20250</v>
      </c>
      <c r="N158" s="1">
        <v>0.79516049382716047</v>
      </c>
    </row>
    <row r="159" spans="1:14" x14ac:dyDescent="0.35">
      <c r="A159" s="1" t="s">
        <v>14</v>
      </c>
      <c r="B159" s="1">
        <v>27</v>
      </c>
      <c r="C159" s="1" t="s">
        <v>15</v>
      </c>
      <c r="D159" s="2">
        <v>45346</v>
      </c>
      <c r="E159" s="3">
        <v>0.625</v>
      </c>
      <c r="F159" s="1" t="s">
        <v>32</v>
      </c>
      <c r="G159" s="1" t="s">
        <v>43</v>
      </c>
      <c r="H159" s="1" t="s">
        <v>30</v>
      </c>
      <c r="I159" s="4">
        <v>6230</v>
      </c>
      <c r="J159" s="1" t="s">
        <v>35</v>
      </c>
      <c r="K159" s="1">
        <v>2024</v>
      </c>
      <c r="L159" s="1">
        <v>27</v>
      </c>
      <c r="M159" s="1">
        <v>18128</v>
      </c>
      <c r="N159" s="1">
        <v>0.34366725507502205</v>
      </c>
    </row>
    <row r="160" spans="1:14" x14ac:dyDescent="0.35">
      <c r="A160" s="1" t="s">
        <v>14</v>
      </c>
      <c r="B160" s="1">
        <v>27</v>
      </c>
      <c r="C160" s="1" t="s">
        <v>15</v>
      </c>
      <c r="D160" s="2">
        <v>45346</v>
      </c>
      <c r="E160" s="3">
        <v>0.625</v>
      </c>
      <c r="F160" s="1" t="s">
        <v>34</v>
      </c>
      <c r="G160" s="1" t="s">
        <v>66</v>
      </c>
      <c r="H160" s="1" t="s">
        <v>26</v>
      </c>
      <c r="I160" s="4">
        <v>50354</v>
      </c>
      <c r="J160" s="1" t="s">
        <v>42</v>
      </c>
      <c r="K160" s="1">
        <v>2024</v>
      </c>
      <c r="L160" s="1">
        <v>27</v>
      </c>
      <c r="M160" s="1">
        <v>51082</v>
      </c>
      <c r="N160" s="1">
        <v>0.98574840452605617</v>
      </c>
    </row>
    <row r="161" spans="1:14" x14ac:dyDescent="0.35">
      <c r="A161" s="1" t="s">
        <v>14</v>
      </c>
      <c r="B161" s="1">
        <v>27</v>
      </c>
      <c r="C161" s="1" t="s">
        <v>15</v>
      </c>
      <c r="D161" s="2">
        <v>45346</v>
      </c>
      <c r="E161" s="3">
        <v>0.625</v>
      </c>
      <c r="F161" s="1" t="s">
        <v>18</v>
      </c>
      <c r="G161" s="1" t="s">
        <v>65</v>
      </c>
      <c r="H161" s="1" t="s">
        <v>28</v>
      </c>
      <c r="I161" s="4">
        <v>3346</v>
      </c>
      <c r="J161" s="1" t="s">
        <v>44</v>
      </c>
      <c r="K161" s="1">
        <v>2024</v>
      </c>
      <c r="L161" s="1">
        <v>27</v>
      </c>
      <c r="M161" s="1">
        <v>6541</v>
      </c>
      <c r="N161" s="1">
        <v>0.51154257758752486</v>
      </c>
    </row>
    <row r="162" spans="1:14" x14ac:dyDescent="0.35">
      <c r="A162" s="1" t="s">
        <v>14</v>
      </c>
      <c r="B162" s="1">
        <v>27</v>
      </c>
      <c r="C162" s="1" t="s">
        <v>15</v>
      </c>
      <c r="D162" s="2">
        <v>45346</v>
      </c>
      <c r="E162" s="3">
        <v>0.625</v>
      </c>
      <c r="F162" s="1" t="s">
        <v>39</v>
      </c>
      <c r="G162" s="1" t="s">
        <v>43</v>
      </c>
      <c r="H162" s="1" t="s">
        <v>24</v>
      </c>
      <c r="I162" s="4">
        <v>5991</v>
      </c>
      <c r="J162" s="1" t="s">
        <v>46</v>
      </c>
      <c r="K162" s="1">
        <v>2024</v>
      </c>
      <c r="L162" s="1">
        <v>27</v>
      </c>
      <c r="M162" s="1">
        <v>8006</v>
      </c>
      <c r="N162" s="1">
        <v>0.74831376467649258</v>
      </c>
    </row>
    <row r="163" spans="1:14" x14ac:dyDescent="0.35">
      <c r="A163" s="1" t="s">
        <v>14</v>
      </c>
      <c r="B163" s="1">
        <v>27</v>
      </c>
      <c r="C163" s="1" t="s">
        <v>36</v>
      </c>
      <c r="D163" s="2">
        <v>45347</v>
      </c>
      <c r="E163" s="3">
        <v>0.5</v>
      </c>
      <c r="F163" s="1" t="s">
        <v>22</v>
      </c>
      <c r="G163" s="1" t="s">
        <v>47</v>
      </c>
      <c r="H163" s="1" t="s">
        <v>16</v>
      </c>
      <c r="I163" s="4">
        <v>8639</v>
      </c>
      <c r="J163" s="1" t="s">
        <v>49</v>
      </c>
      <c r="K163" s="1">
        <v>2024</v>
      </c>
      <c r="L163" s="1">
        <v>27</v>
      </c>
      <c r="M163" s="1">
        <v>13750</v>
      </c>
      <c r="N163" s="1">
        <v>0.62829090909090912</v>
      </c>
    </row>
    <row r="164" spans="1:14" x14ac:dyDescent="0.35">
      <c r="A164" s="1" t="s">
        <v>14</v>
      </c>
      <c r="B164" s="1">
        <v>28</v>
      </c>
      <c r="C164" s="1" t="s">
        <v>58</v>
      </c>
      <c r="D164" s="2">
        <v>45349</v>
      </c>
      <c r="E164" s="3">
        <v>0.83333333333333337</v>
      </c>
      <c r="F164" s="1" t="s">
        <v>18</v>
      </c>
      <c r="G164" s="1" t="s">
        <v>21</v>
      </c>
      <c r="H164" s="1" t="s">
        <v>39</v>
      </c>
      <c r="I164" s="4">
        <v>3142</v>
      </c>
      <c r="J164" s="1" t="s">
        <v>44</v>
      </c>
      <c r="K164" s="1">
        <v>2024</v>
      </c>
      <c r="L164" s="1">
        <v>28</v>
      </c>
      <c r="M164" s="1">
        <v>6541</v>
      </c>
      <c r="N164" s="1">
        <v>0.48035468582785507</v>
      </c>
    </row>
    <row r="165" spans="1:14" x14ac:dyDescent="0.35">
      <c r="A165" s="1" t="s">
        <v>14</v>
      </c>
      <c r="B165" s="1">
        <v>28</v>
      </c>
      <c r="C165" s="1" t="s">
        <v>60</v>
      </c>
      <c r="D165" s="2">
        <v>45350</v>
      </c>
      <c r="E165" s="3">
        <v>0.82291666666666663</v>
      </c>
      <c r="F165" s="1" t="s">
        <v>30</v>
      </c>
      <c r="G165" s="1" t="s">
        <v>25</v>
      </c>
      <c r="H165" s="1" t="s">
        <v>24</v>
      </c>
      <c r="I165" s="4">
        <v>14226</v>
      </c>
      <c r="J165" s="1" t="s">
        <v>48</v>
      </c>
      <c r="K165" s="1">
        <v>2024</v>
      </c>
      <c r="L165" s="1">
        <v>28</v>
      </c>
      <c r="M165" s="1">
        <v>21412</v>
      </c>
      <c r="N165" s="1">
        <v>0.66439379787035302</v>
      </c>
    </row>
    <row r="166" spans="1:14" x14ac:dyDescent="0.35">
      <c r="A166" s="1" t="s">
        <v>14</v>
      </c>
      <c r="B166" s="1">
        <v>28</v>
      </c>
      <c r="C166" s="1" t="s">
        <v>60</v>
      </c>
      <c r="D166" s="2">
        <v>45350</v>
      </c>
      <c r="E166" s="3">
        <v>0.82291666666666663</v>
      </c>
      <c r="F166" s="1" t="s">
        <v>16</v>
      </c>
      <c r="G166" s="1" t="s">
        <v>67</v>
      </c>
      <c r="H166" s="1" t="s">
        <v>20</v>
      </c>
      <c r="I166" s="4">
        <v>58772</v>
      </c>
      <c r="J166" s="1" t="s">
        <v>19</v>
      </c>
      <c r="K166" s="1">
        <v>2024</v>
      </c>
      <c r="L166" s="1">
        <v>28</v>
      </c>
      <c r="M166" s="1">
        <v>60500</v>
      </c>
      <c r="N166" s="1">
        <v>0.97143801652892559</v>
      </c>
    </row>
    <row r="167" spans="1:14" x14ac:dyDescent="0.35">
      <c r="A167" s="1" t="s">
        <v>14</v>
      </c>
      <c r="B167" s="1">
        <v>28</v>
      </c>
      <c r="C167" s="1" t="s">
        <v>60</v>
      </c>
      <c r="D167" s="2">
        <v>45350</v>
      </c>
      <c r="E167" s="3">
        <v>0.82291666666666663</v>
      </c>
      <c r="F167" s="1" t="s">
        <v>26</v>
      </c>
      <c r="G167" s="1" t="s">
        <v>21</v>
      </c>
      <c r="H167" s="1" t="s">
        <v>37</v>
      </c>
      <c r="I167" s="4">
        <v>18936</v>
      </c>
      <c r="J167" s="1" t="s">
        <v>50</v>
      </c>
      <c r="K167" s="1">
        <v>2024</v>
      </c>
      <c r="L167" s="1">
        <v>28</v>
      </c>
      <c r="M167" s="1">
        <v>19852</v>
      </c>
      <c r="N167" s="1">
        <v>0.95385855329437841</v>
      </c>
    </row>
    <row r="168" spans="1:14" x14ac:dyDescent="0.35">
      <c r="A168" s="1" t="s">
        <v>14</v>
      </c>
      <c r="B168" s="1">
        <v>28</v>
      </c>
      <c r="C168" s="1" t="s">
        <v>60</v>
      </c>
      <c r="D168" s="2">
        <v>45350</v>
      </c>
      <c r="E168" s="3">
        <v>0.82291666666666663</v>
      </c>
      <c r="F168" s="1" t="s">
        <v>32</v>
      </c>
      <c r="G168" s="1" t="s">
        <v>55</v>
      </c>
      <c r="H168" s="1" t="s">
        <v>34</v>
      </c>
      <c r="I168" s="4">
        <v>9576</v>
      </c>
      <c r="J168" s="1" t="s">
        <v>35</v>
      </c>
      <c r="K168" s="1">
        <v>2024</v>
      </c>
      <c r="L168" s="1">
        <v>28</v>
      </c>
      <c r="M168" s="1">
        <v>18128</v>
      </c>
      <c r="N168" s="1">
        <v>0.52824360105913504</v>
      </c>
    </row>
    <row r="169" spans="1:14" x14ac:dyDescent="0.35">
      <c r="A169" s="1" t="s">
        <v>14</v>
      </c>
      <c r="B169" s="1">
        <v>28</v>
      </c>
      <c r="C169" s="1" t="s">
        <v>60</v>
      </c>
      <c r="D169" s="2">
        <v>45350</v>
      </c>
      <c r="E169" s="3">
        <v>0.83333333333333337</v>
      </c>
      <c r="F169" s="1" t="s">
        <v>28</v>
      </c>
      <c r="G169" s="1" t="s">
        <v>47</v>
      </c>
      <c r="H169" s="1" t="s">
        <v>22</v>
      </c>
      <c r="I169" s="4">
        <v>1659</v>
      </c>
      <c r="J169" s="1" t="s">
        <v>31</v>
      </c>
      <c r="K169" s="1">
        <v>2024</v>
      </c>
      <c r="L169" s="1">
        <v>28</v>
      </c>
      <c r="M169" s="1">
        <v>9672</v>
      </c>
      <c r="N169" s="1">
        <v>0.17152605459057071</v>
      </c>
    </row>
    <row r="170" spans="1:14" x14ac:dyDescent="0.35">
      <c r="A170" s="1" t="s">
        <v>14</v>
      </c>
      <c r="B170" s="1">
        <v>29</v>
      </c>
      <c r="C170" s="1" t="s">
        <v>15</v>
      </c>
      <c r="D170" s="2">
        <v>45353</v>
      </c>
      <c r="E170" s="3">
        <v>0.625</v>
      </c>
      <c r="F170" s="1" t="s">
        <v>20</v>
      </c>
      <c r="G170" s="1" t="s">
        <v>51</v>
      </c>
      <c r="H170" s="1" t="s">
        <v>32</v>
      </c>
      <c r="I170" s="4">
        <v>5588</v>
      </c>
      <c r="J170" s="1" t="s">
        <v>23</v>
      </c>
      <c r="K170" s="1">
        <v>2024</v>
      </c>
      <c r="L170" s="1">
        <v>29</v>
      </c>
      <c r="M170" s="1">
        <v>11850</v>
      </c>
      <c r="N170" s="1">
        <v>0.47156118143459913</v>
      </c>
    </row>
    <row r="171" spans="1:14" x14ac:dyDescent="0.35">
      <c r="A171" s="1" t="s">
        <v>14</v>
      </c>
      <c r="B171" s="1">
        <v>29</v>
      </c>
      <c r="C171" s="1" t="s">
        <v>15</v>
      </c>
      <c r="D171" s="2">
        <v>45353</v>
      </c>
      <c r="E171" s="3">
        <v>0.625</v>
      </c>
      <c r="F171" s="1" t="s">
        <v>37</v>
      </c>
      <c r="G171" s="1" t="s">
        <v>43</v>
      </c>
      <c r="H171" s="1" t="s">
        <v>18</v>
      </c>
      <c r="I171" s="4">
        <v>15705</v>
      </c>
      <c r="J171" s="1" t="s">
        <v>40</v>
      </c>
      <c r="K171" s="1">
        <v>2024</v>
      </c>
      <c r="L171" s="1">
        <v>29</v>
      </c>
      <c r="M171" s="1">
        <v>20250</v>
      </c>
      <c r="N171" s="1">
        <v>0.77555555555555555</v>
      </c>
    </row>
    <row r="172" spans="1:14" x14ac:dyDescent="0.35">
      <c r="A172" s="1" t="s">
        <v>14</v>
      </c>
      <c r="B172" s="1">
        <v>29</v>
      </c>
      <c r="C172" s="1" t="s">
        <v>15</v>
      </c>
      <c r="D172" s="2">
        <v>45353</v>
      </c>
      <c r="E172" s="3">
        <v>0.625</v>
      </c>
      <c r="F172" s="1" t="s">
        <v>34</v>
      </c>
      <c r="G172" s="1" t="s">
        <v>55</v>
      </c>
      <c r="H172" s="1" t="s">
        <v>22</v>
      </c>
      <c r="I172" s="4">
        <v>50281</v>
      </c>
      <c r="J172" s="1" t="s">
        <v>42</v>
      </c>
      <c r="K172" s="1">
        <v>2024</v>
      </c>
      <c r="L172" s="1">
        <v>29</v>
      </c>
      <c r="M172" s="1">
        <v>51082</v>
      </c>
      <c r="N172" s="1">
        <v>0.98431932970517988</v>
      </c>
    </row>
    <row r="173" spans="1:14" x14ac:dyDescent="0.35">
      <c r="A173" s="1" t="s">
        <v>14</v>
      </c>
      <c r="B173" s="1">
        <v>29</v>
      </c>
      <c r="C173" s="1" t="s">
        <v>15</v>
      </c>
      <c r="D173" s="2">
        <v>45353</v>
      </c>
      <c r="E173" s="3">
        <v>0.625</v>
      </c>
      <c r="F173" s="1" t="s">
        <v>24</v>
      </c>
      <c r="G173" s="1" t="s">
        <v>21</v>
      </c>
      <c r="H173" s="1" t="s">
        <v>28</v>
      </c>
      <c r="I173" s="4">
        <v>3287</v>
      </c>
      <c r="J173" s="1" t="s">
        <v>27</v>
      </c>
      <c r="K173" s="1">
        <v>2024</v>
      </c>
      <c r="L173" s="1">
        <v>29</v>
      </c>
      <c r="M173" s="1">
        <v>10700</v>
      </c>
      <c r="N173" s="1">
        <v>0.30719626168224301</v>
      </c>
    </row>
    <row r="174" spans="1:14" x14ac:dyDescent="0.35">
      <c r="A174" s="1" t="s">
        <v>14</v>
      </c>
      <c r="B174" s="1">
        <v>29</v>
      </c>
      <c r="C174" s="1" t="s">
        <v>15</v>
      </c>
      <c r="D174" s="2">
        <v>45353</v>
      </c>
      <c r="E174" s="3">
        <v>0.625</v>
      </c>
      <c r="F174" s="1" t="s">
        <v>39</v>
      </c>
      <c r="G174" s="1" t="s">
        <v>45</v>
      </c>
      <c r="H174" s="1" t="s">
        <v>30</v>
      </c>
      <c r="I174" s="4">
        <v>7019</v>
      </c>
      <c r="J174" s="1" t="s">
        <v>46</v>
      </c>
      <c r="K174" s="1">
        <v>2024</v>
      </c>
      <c r="L174" s="1">
        <v>29</v>
      </c>
      <c r="M174" s="1">
        <v>8006</v>
      </c>
      <c r="N174" s="1">
        <v>0.87671746190357236</v>
      </c>
    </row>
    <row r="175" spans="1:14" x14ac:dyDescent="0.35">
      <c r="A175" s="1" t="s">
        <v>14</v>
      </c>
      <c r="B175" s="1">
        <v>29</v>
      </c>
      <c r="C175" s="1" t="s">
        <v>36</v>
      </c>
      <c r="D175" s="2">
        <v>45354</v>
      </c>
      <c r="E175" s="3">
        <v>0.5</v>
      </c>
      <c r="F175" s="1" t="s">
        <v>26</v>
      </c>
      <c r="G175" s="1" t="s">
        <v>43</v>
      </c>
      <c r="H175" s="1" t="s">
        <v>16</v>
      </c>
      <c r="I175" s="4">
        <v>17748</v>
      </c>
      <c r="J175" s="1" t="s">
        <v>50</v>
      </c>
      <c r="K175" s="1">
        <v>2024</v>
      </c>
      <c r="L175" s="1">
        <v>29</v>
      </c>
      <c r="M175" s="1">
        <v>19852</v>
      </c>
      <c r="N175" s="1">
        <v>0.8940157163006246</v>
      </c>
    </row>
    <row r="176" spans="1:14" x14ac:dyDescent="0.35">
      <c r="A176" s="1" t="s">
        <v>14</v>
      </c>
      <c r="B176" s="1">
        <v>30</v>
      </c>
      <c r="C176" s="1" t="s">
        <v>15</v>
      </c>
      <c r="D176" s="2">
        <v>45367</v>
      </c>
      <c r="E176" s="3">
        <v>0.625</v>
      </c>
      <c r="F176" s="1" t="s">
        <v>16</v>
      </c>
      <c r="G176" s="1" t="s">
        <v>56</v>
      </c>
      <c r="H176" s="1" t="s">
        <v>24</v>
      </c>
      <c r="I176" s="4">
        <v>58880</v>
      </c>
      <c r="J176" s="1" t="s">
        <v>19</v>
      </c>
      <c r="K176" s="1">
        <v>2024</v>
      </c>
      <c r="L176" s="1">
        <v>30</v>
      </c>
      <c r="M176" s="1">
        <v>60500</v>
      </c>
      <c r="N176" s="1">
        <v>0.97322314049586778</v>
      </c>
    </row>
    <row r="177" spans="1:14" x14ac:dyDescent="0.35">
      <c r="A177" s="1" t="s">
        <v>14</v>
      </c>
      <c r="B177" s="1">
        <v>30</v>
      </c>
      <c r="C177" s="1" t="s">
        <v>15</v>
      </c>
      <c r="D177" s="2">
        <v>45367</v>
      </c>
      <c r="E177" s="3">
        <v>0.625</v>
      </c>
      <c r="F177" s="1" t="s">
        <v>37</v>
      </c>
      <c r="G177" s="1" t="s">
        <v>53</v>
      </c>
      <c r="H177" s="1" t="s">
        <v>28</v>
      </c>
      <c r="I177" s="4">
        <v>15912</v>
      </c>
      <c r="J177" s="1" t="s">
        <v>40</v>
      </c>
      <c r="K177" s="1">
        <v>2024</v>
      </c>
      <c r="L177" s="1">
        <v>30</v>
      </c>
      <c r="M177" s="1">
        <v>20250</v>
      </c>
      <c r="N177" s="1">
        <v>0.7857777777777778</v>
      </c>
    </row>
    <row r="178" spans="1:14" x14ac:dyDescent="0.35">
      <c r="A178" s="1" t="s">
        <v>14</v>
      </c>
      <c r="B178" s="1">
        <v>30</v>
      </c>
      <c r="C178" s="1" t="s">
        <v>15</v>
      </c>
      <c r="D178" s="2">
        <v>45367</v>
      </c>
      <c r="E178" s="3">
        <v>0.625</v>
      </c>
      <c r="F178" s="1" t="s">
        <v>32</v>
      </c>
      <c r="G178" s="1" t="s">
        <v>68</v>
      </c>
      <c r="H178" s="1" t="s">
        <v>39</v>
      </c>
      <c r="I178" s="4">
        <v>8460</v>
      </c>
      <c r="J178" s="1" t="s">
        <v>35</v>
      </c>
      <c r="K178" s="1">
        <v>2024</v>
      </c>
      <c r="L178" s="1">
        <v>30</v>
      </c>
      <c r="M178" s="1">
        <v>18128</v>
      </c>
      <c r="N178" s="1">
        <v>0.46668137687555161</v>
      </c>
    </row>
    <row r="179" spans="1:14" x14ac:dyDescent="0.35">
      <c r="A179" s="1" t="s">
        <v>14</v>
      </c>
      <c r="B179" s="1">
        <v>30</v>
      </c>
      <c r="C179" s="1" t="s">
        <v>15</v>
      </c>
      <c r="D179" s="2">
        <v>45367</v>
      </c>
      <c r="E179" s="3">
        <v>0.625</v>
      </c>
      <c r="F179" s="1" t="s">
        <v>22</v>
      </c>
      <c r="G179" s="1" t="s">
        <v>52</v>
      </c>
      <c r="H179" s="1" t="s">
        <v>30</v>
      </c>
      <c r="I179" s="4">
        <v>5659</v>
      </c>
      <c r="J179" s="1" t="s">
        <v>49</v>
      </c>
      <c r="K179" s="1">
        <v>2024</v>
      </c>
      <c r="L179" s="1">
        <v>30</v>
      </c>
      <c r="M179" s="1">
        <v>13750</v>
      </c>
      <c r="N179" s="1">
        <v>0.41156363636363635</v>
      </c>
    </row>
    <row r="180" spans="1:14" x14ac:dyDescent="0.35">
      <c r="A180" s="1" t="s">
        <v>14</v>
      </c>
      <c r="B180" s="1">
        <v>30</v>
      </c>
      <c r="C180" s="1" t="s">
        <v>15</v>
      </c>
      <c r="D180" s="2">
        <v>45367</v>
      </c>
      <c r="E180" s="3">
        <v>0.625</v>
      </c>
      <c r="F180" s="1" t="s">
        <v>18</v>
      </c>
      <c r="G180" s="1" t="s">
        <v>45</v>
      </c>
      <c r="H180" s="1" t="s">
        <v>26</v>
      </c>
      <c r="I180" s="4">
        <v>5267</v>
      </c>
      <c r="J180" s="1" t="s">
        <v>44</v>
      </c>
      <c r="K180" s="1">
        <v>2024</v>
      </c>
      <c r="L180" s="1">
        <v>30</v>
      </c>
      <c r="M180" s="1">
        <v>6541</v>
      </c>
      <c r="N180" s="1">
        <v>0.8052285583244152</v>
      </c>
    </row>
    <row r="181" spans="1:14" x14ac:dyDescent="0.35">
      <c r="A181" s="1" t="s">
        <v>14</v>
      </c>
      <c r="B181" s="1">
        <v>30</v>
      </c>
      <c r="C181" s="1" t="s">
        <v>60</v>
      </c>
      <c r="D181" s="2">
        <v>45399</v>
      </c>
      <c r="E181" s="3">
        <v>0.83333333333333337</v>
      </c>
      <c r="F181" s="1" t="s">
        <v>20</v>
      </c>
      <c r="G181" s="1" t="s">
        <v>29</v>
      </c>
      <c r="H181" s="1" t="s">
        <v>34</v>
      </c>
      <c r="I181" s="4">
        <v>9010</v>
      </c>
      <c r="J181" s="1" t="s">
        <v>23</v>
      </c>
      <c r="K181" s="1">
        <v>2024</v>
      </c>
      <c r="L181" s="1">
        <v>30</v>
      </c>
      <c r="M181" s="1">
        <v>11850</v>
      </c>
      <c r="N181" s="1">
        <v>0.76033755274261605</v>
      </c>
    </row>
    <row r="182" spans="1:14" x14ac:dyDescent="0.35">
      <c r="A182" s="1" t="s">
        <v>14</v>
      </c>
      <c r="B182" s="1">
        <v>31</v>
      </c>
      <c r="C182" s="1" t="s">
        <v>15</v>
      </c>
      <c r="D182" s="2">
        <v>45381</v>
      </c>
      <c r="E182" s="3">
        <v>0.625</v>
      </c>
      <c r="F182" s="1" t="s">
        <v>30</v>
      </c>
      <c r="G182" s="1" t="s">
        <v>45</v>
      </c>
      <c r="H182" s="1" t="s">
        <v>18</v>
      </c>
      <c r="I182" s="4">
        <v>17616</v>
      </c>
      <c r="J182" s="1" t="s">
        <v>48</v>
      </c>
      <c r="K182" s="1">
        <v>2024</v>
      </c>
      <c r="L182" s="1">
        <v>31</v>
      </c>
      <c r="M182" s="1">
        <v>21412</v>
      </c>
      <c r="N182" s="1">
        <v>0.82271623388753967</v>
      </c>
    </row>
    <row r="183" spans="1:14" x14ac:dyDescent="0.35">
      <c r="A183" s="1" t="s">
        <v>14</v>
      </c>
      <c r="B183" s="1">
        <v>31</v>
      </c>
      <c r="C183" s="1" t="s">
        <v>15</v>
      </c>
      <c r="D183" s="2">
        <v>45381</v>
      </c>
      <c r="E183" s="3">
        <v>0.625</v>
      </c>
      <c r="F183" s="1" t="s">
        <v>26</v>
      </c>
      <c r="G183" s="1" t="s">
        <v>21</v>
      </c>
      <c r="H183" s="1" t="s">
        <v>32</v>
      </c>
      <c r="I183" s="4">
        <v>18799</v>
      </c>
      <c r="J183" s="1" t="s">
        <v>50</v>
      </c>
      <c r="K183" s="1">
        <v>2024</v>
      </c>
      <c r="L183" s="1">
        <v>31</v>
      </c>
      <c r="M183" s="1">
        <v>19852</v>
      </c>
      <c r="N183" s="1">
        <v>0.94695748539190006</v>
      </c>
    </row>
    <row r="184" spans="1:14" x14ac:dyDescent="0.35">
      <c r="A184" s="1" t="s">
        <v>14</v>
      </c>
      <c r="B184" s="1">
        <v>31</v>
      </c>
      <c r="C184" s="1" t="s">
        <v>15</v>
      </c>
      <c r="D184" s="2">
        <v>45381</v>
      </c>
      <c r="E184" s="3">
        <v>0.625</v>
      </c>
      <c r="F184" s="1" t="s">
        <v>22</v>
      </c>
      <c r="G184" s="1" t="s">
        <v>21</v>
      </c>
      <c r="H184" s="1" t="s">
        <v>39</v>
      </c>
      <c r="I184" s="4">
        <v>5492</v>
      </c>
      <c r="J184" s="1" t="s">
        <v>49</v>
      </c>
      <c r="K184" s="1">
        <v>2024</v>
      </c>
      <c r="L184" s="1">
        <v>31</v>
      </c>
      <c r="M184" s="1">
        <v>13750</v>
      </c>
      <c r="N184" s="1">
        <v>0.39941818181818184</v>
      </c>
    </row>
    <row r="185" spans="1:14" x14ac:dyDescent="0.35">
      <c r="A185" s="1" t="s">
        <v>14</v>
      </c>
      <c r="B185" s="1">
        <v>31</v>
      </c>
      <c r="C185" s="1" t="s">
        <v>15</v>
      </c>
      <c r="D185" s="2">
        <v>45381</v>
      </c>
      <c r="E185" s="3">
        <v>0.625</v>
      </c>
      <c r="F185" s="1" t="s">
        <v>34</v>
      </c>
      <c r="G185" s="1" t="s">
        <v>56</v>
      </c>
      <c r="H185" s="1" t="s">
        <v>37</v>
      </c>
      <c r="I185" s="4">
        <v>50304</v>
      </c>
      <c r="J185" s="1" t="s">
        <v>42</v>
      </c>
      <c r="K185" s="1">
        <v>2024</v>
      </c>
      <c r="L185" s="1">
        <v>31</v>
      </c>
      <c r="M185" s="1">
        <v>51082</v>
      </c>
      <c r="N185" s="1">
        <v>0.98476958615559296</v>
      </c>
    </row>
    <row r="186" spans="1:14" x14ac:dyDescent="0.35">
      <c r="A186" s="1" t="s">
        <v>14</v>
      </c>
      <c r="B186" s="1">
        <v>31</v>
      </c>
      <c r="C186" s="1" t="s">
        <v>15</v>
      </c>
      <c r="D186" s="2">
        <v>45381</v>
      </c>
      <c r="E186" s="3">
        <v>0.625</v>
      </c>
      <c r="F186" s="1" t="s">
        <v>24</v>
      </c>
      <c r="G186" s="1" t="s">
        <v>55</v>
      </c>
      <c r="H186" s="1" t="s">
        <v>20</v>
      </c>
      <c r="I186" s="4">
        <v>6691</v>
      </c>
      <c r="J186" s="1" t="s">
        <v>27</v>
      </c>
      <c r="K186" s="1">
        <v>2024</v>
      </c>
      <c r="L186" s="1">
        <v>31</v>
      </c>
      <c r="M186" s="1">
        <v>10700</v>
      </c>
      <c r="N186" s="1">
        <v>0.62532710280373827</v>
      </c>
    </row>
    <row r="187" spans="1:14" x14ac:dyDescent="0.35">
      <c r="A187" s="1" t="s">
        <v>14</v>
      </c>
      <c r="B187" s="1">
        <v>31</v>
      </c>
      <c r="C187" s="1" t="s">
        <v>36</v>
      </c>
      <c r="D187" s="2">
        <v>45382</v>
      </c>
      <c r="E187" s="3">
        <v>0.5</v>
      </c>
      <c r="F187" s="1" t="s">
        <v>28</v>
      </c>
      <c r="G187" s="1" t="s">
        <v>54</v>
      </c>
      <c r="H187" s="1" t="s">
        <v>16</v>
      </c>
      <c r="I187" s="4">
        <v>8396</v>
      </c>
      <c r="J187" s="1" t="s">
        <v>31</v>
      </c>
      <c r="K187" s="1">
        <v>2024</v>
      </c>
      <c r="L187" s="1">
        <v>31</v>
      </c>
      <c r="M187" s="1">
        <v>9672</v>
      </c>
      <c r="N187" s="1">
        <v>0.86807278742762617</v>
      </c>
    </row>
    <row r="188" spans="1:14" x14ac:dyDescent="0.35">
      <c r="A188" s="1" t="s">
        <v>14</v>
      </c>
      <c r="B188" s="1">
        <v>32</v>
      </c>
      <c r="C188" s="1" t="s">
        <v>15</v>
      </c>
      <c r="D188" s="2">
        <v>45388</v>
      </c>
      <c r="E188" s="3">
        <v>0.625</v>
      </c>
      <c r="F188" s="1" t="s">
        <v>20</v>
      </c>
      <c r="G188" s="1" t="s">
        <v>38</v>
      </c>
      <c r="H188" s="1" t="s">
        <v>22</v>
      </c>
      <c r="I188" s="4">
        <v>5924</v>
      </c>
      <c r="J188" s="1" t="s">
        <v>23</v>
      </c>
      <c r="K188" s="1">
        <v>2024</v>
      </c>
      <c r="L188" s="1">
        <v>32</v>
      </c>
      <c r="M188" s="1">
        <v>11850</v>
      </c>
      <c r="N188" s="1">
        <v>0.49991561181434602</v>
      </c>
    </row>
    <row r="189" spans="1:14" x14ac:dyDescent="0.35">
      <c r="A189" s="1" t="s">
        <v>14</v>
      </c>
      <c r="B189" s="1">
        <v>32</v>
      </c>
      <c r="C189" s="1" t="s">
        <v>15</v>
      </c>
      <c r="D189" s="2">
        <v>45388</v>
      </c>
      <c r="E189" s="3">
        <v>0.625</v>
      </c>
      <c r="F189" s="1" t="s">
        <v>37</v>
      </c>
      <c r="G189" s="1" t="s">
        <v>55</v>
      </c>
      <c r="H189" s="1" t="s">
        <v>24</v>
      </c>
      <c r="I189" s="4">
        <v>16735</v>
      </c>
      <c r="J189" s="1" t="s">
        <v>40</v>
      </c>
      <c r="K189" s="1">
        <v>2024</v>
      </c>
      <c r="L189" s="1">
        <v>32</v>
      </c>
      <c r="M189" s="1">
        <v>20250</v>
      </c>
      <c r="N189" s="1">
        <v>0.82641975308641979</v>
      </c>
    </row>
    <row r="190" spans="1:14" x14ac:dyDescent="0.35">
      <c r="A190" s="1" t="s">
        <v>14</v>
      </c>
      <c r="B190" s="1">
        <v>32</v>
      </c>
      <c r="C190" s="1" t="s">
        <v>15</v>
      </c>
      <c r="D190" s="2">
        <v>45388</v>
      </c>
      <c r="E190" s="3">
        <v>0.625</v>
      </c>
      <c r="F190" s="1" t="s">
        <v>32</v>
      </c>
      <c r="G190" s="1" t="s">
        <v>33</v>
      </c>
      <c r="H190" s="1" t="s">
        <v>18</v>
      </c>
      <c r="I190" s="4">
        <v>5473</v>
      </c>
      <c r="J190" s="1" t="s">
        <v>35</v>
      </c>
      <c r="K190" s="1">
        <v>2024</v>
      </c>
      <c r="L190" s="1">
        <v>32</v>
      </c>
      <c r="M190" s="1">
        <v>18128</v>
      </c>
      <c r="N190" s="1">
        <v>0.30190864960282437</v>
      </c>
    </row>
    <row r="191" spans="1:14" x14ac:dyDescent="0.35">
      <c r="A191" s="1" t="s">
        <v>14</v>
      </c>
      <c r="B191" s="1">
        <v>32</v>
      </c>
      <c r="C191" s="1" t="s">
        <v>15</v>
      </c>
      <c r="D191" s="2">
        <v>45388</v>
      </c>
      <c r="E191" s="3">
        <v>0.625</v>
      </c>
      <c r="F191" s="1" t="s">
        <v>28</v>
      </c>
      <c r="G191" s="1" t="s">
        <v>29</v>
      </c>
      <c r="H191" s="1" t="s">
        <v>30</v>
      </c>
      <c r="I191" s="4">
        <v>2797</v>
      </c>
      <c r="J191" s="1" t="s">
        <v>31</v>
      </c>
      <c r="K191" s="1">
        <v>2024</v>
      </c>
      <c r="L191" s="1">
        <v>32</v>
      </c>
      <c r="M191" s="1">
        <v>9672</v>
      </c>
      <c r="N191" s="1">
        <v>0.28918527708850289</v>
      </c>
    </row>
    <row r="192" spans="1:14" x14ac:dyDescent="0.35">
      <c r="A192" s="1" t="s">
        <v>14</v>
      </c>
      <c r="B192" s="1">
        <v>32</v>
      </c>
      <c r="C192" s="1" t="s">
        <v>15</v>
      </c>
      <c r="D192" s="2">
        <v>45388</v>
      </c>
      <c r="E192" s="3">
        <v>0.625</v>
      </c>
      <c r="F192" s="1" t="s">
        <v>39</v>
      </c>
      <c r="G192" s="1" t="s">
        <v>55</v>
      </c>
      <c r="H192" s="1" t="s">
        <v>26</v>
      </c>
      <c r="I192" s="4">
        <v>7740</v>
      </c>
      <c r="J192" s="1" t="s">
        <v>46</v>
      </c>
      <c r="K192" s="1">
        <v>2024</v>
      </c>
      <c r="L192" s="1">
        <v>32</v>
      </c>
      <c r="M192" s="1">
        <v>8006</v>
      </c>
      <c r="N192" s="1">
        <v>0.96677491881089184</v>
      </c>
    </row>
    <row r="193" spans="1:14" x14ac:dyDescent="0.35">
      <c r="A193" s="1" t="s">
        <v>14</v>
      </c>
      <c r="B193" s="1">
        <v>32</v>
      </c>
      <c r="C193" s="1" t="s">
        <v>36</v>
      </c>
      <c r="D193" s="2">
        <v>45389</v>
      </c>
      <c r="E193" s="3">
        <v>0.5</v>
      </c>
      <c r="F193" s="1" t="s">
        <v>34</v>
      </c>
      <c r="G193" s="1" t="s">
        <v>59</v>
      </c>
      <c r="H193" s="1" t="s">
        <v>16</v>
      </c>
      <c r="I193" s="4">
        <v>50936</v>
      </c>
      <c r="J193" s="1" t="s">
        <v>42</v>
      </c>
      <c r="K193" s="1">
        <v>2024</v>
      </c>
      <c r="L193" s="1">
        <v>32</v>
      </c>
      <c r="M193" s="1">
        <v>51082</v>
      </c>
      <c r="N193" s="1">
        <v>0.99714185035824754</v>
      </c>
    </row>
    <row r="194" spans="1:14" x14ac:dyDescent="0.35">
      <c r="A194" s="1" t="s">
        <v>14</v>
      </c>
      <c r="B194" s="1">
        <v>33</v>
      </c>
      <c r="C194" s="1" t="s">
        <v>15</v>
      </c>
      <c r="D194" s="2">
        <v>45395</v>
      </c>
      <c r="E194" s="3">
        <v>0.625</v>
      </c>
      <c r="F194" s="1" t="s">
        <v>30</v>
      </c>
      <c r="G194" s="1" t="s">
        <v>29</v>
      </c>
      <c r="H194" s="1" t="s">
        <v>20</v>
      </c>
      <c r="I194" s="4">
        <v>17176</v>
      </c>
      <c r="J194" s="1" t="s">
        <v>48</v>
      </c>
      <c r="K194" s="1">
        <v>2024</v>
      </c>
      <c r="L194" s="1">
        <v>33</v>
      </c>
      <c r="M194" s="1">
        <v>21412</v>
      </c>
      <c r="N194" s="1">
        <v>0.80216700915374561</v>
      </c>
    </row>
    <row r="195" spans="1:14" x14ac:dyDescent="0.35">
      <c r="A195" s="1" t="s">
        <v>14</v>
      </c>
      <c r="B195" s="1">
        <v>33</v>
      </c>
      <c r="C195" s="1" t="s">
        <v>15</v>
      </c>
      <c r="D195" s="2">
        <v>45395</v>
      </c>
      <c r="E195" s="3">
        <v>0.625</v>
      </c>
      <c r="F195" s="1" t="s">
        <v>16</v>
      </c>
      <c r="G195" s="1" t="s">
        <v>53</v>
      </c>
      <c r="H195" s="1" t="s">
        <v>39</v>
      </c>
      <c r="I195" s="4">
        <v>58888</v>
      </c>
      <c r="J195" s="1" t="s">
        <v>19</v>
      </c>
      <c r="K195" s="1">
        <v>2024</v>
      </c>
      <c r="L195" s="1">
        <v>33</v>
      </c>
      <c r="M195" s="1">
        <v>60500</v>
      </c>
      <c r="N195" s="1">
        <v>0.97335537190082644</v>
      </c>
    </row>
    <row r="196" spans="1:14" x14ac:dyDescent="0.35">
      <c r="A196" s="1" t="s">
        <v>14</v>
      </c>
      <c r="B196" s="1">
        <v>33</v>
      </c>
      <c r="C196" s="1" t="s">
        <v>15</v>
      </c>
      <c r="D196" s="2">
        <v>45395</v>
      </c>
      <c r="E196" s="3">
        <v>0.625</v>
      </c>
      <c r="F196" s="1" t="s">
        <v>26</v>
      </c>
      <c r="G196" s="1" t="s">
        <v>17</v>
      </c>
      <c r="H196" s="1" t="s">
        <v>28</v>
      </c>
      <c r="I196" s="4">
        <v>18491</v>
      </c>
      <c r="J196" s="1" t="s">
        <v>50</v>
      </c>
      <c r="K196" s="1">
        <v>2024</v>
      </c>
      <c r="L196" s="1">
        <v>33</v>
      </c>
      <c r="M196" s="1">
        <v>19852</v>
      </c>
      <c r="N196" s="1">
        <v>0.93144267580092688</v>
      </c>
    </row>
    <row r="197" spans="1:14" x14ac:dyDescent="0.35">
      <c r="A197" s="1" t="s">
        <v>14</v>
      </c>
      <c r="B197" s="1">
        <v>33</v>
      </c>
      <c r="C197" s="1" t="s">
        <v>15</v>
      </c>
      <c r="D197" s="2">
        <v>45395</v>
      </c>
      <c r="E197" s="3">
        <v>0.625</v>
      </c>
      <c r="F197" s="1" t="s">
        <v>22</v>
      </c>
      <c r="G197" s="1" t="s">
        <v>21</v>
      </c>
      <c r="H197" s="1" t="s">
        <v>37</v>
      </c>
      <c r="I197" s="4">
        <v>7083</v>
      </c>
      <c r="J197" s="1" t="s">
        <v>49</v>
      </c>
      <c r="K197" s="1">
        <v>2024</v>
      </c>
      <c r="L197" s="1">
        <v>33</v>
      </c>
      <c r="M197" s="1">
        <v>13750</v>
      </c>
      <c r="N197" s="1">
        <v>0.51512727272727277</v>
      </c>
    </row>
    <row r="198" spans="1:14" x14ac:dyDescent="0.35">
      <c r="A198" s="1" t="s">
        <v>14</v>
      </c>
      <c r="B198" s="1">
        <v>33</v>
      </c>
      <c r="C198" s="1" t="s">
        <v>15</v>
      </c>
      <c r="D198" s="2">
        <v>45395</v>
      </c>
      <c r="E198" s="3">
        <v>0.625</v>
      </c>
      <c r="F198" s="1" t="s">
        <v>24</v>
      </c>
      <c r="G198" s="1" t="s">
        <v>25</v>
      </c>
      <c r="H198" s="1" t="s">
        <v>32</v>
      </c>
      <c r="I198" s="4">
        <v>4087</v>
      </c>
      <c r="J198" s="1" t="s">
        <v>27</v>
      </c>
      <c r="K198" s="1">
        <v>2024</v>
      </c>
      <c r="L198" s="1">
        <v>33</v>
      </c>
      <c r="M198" s="1">
        <v>10700</v>
      </c>
      <c r="N198" s="1">
        <v>0.38196261682242988</v>
      </c>
    </row>
    <row r="199" spans="1:14" x14ac:dyDescent="0.35">
      <c r="A199" s="1" t="s">
        <v>14</v>
      </c>
      <c r="B199" s="1">
        <v>33</v>
      </c>
      <c r="C199" s="1" t="s">
        <v>36</v>
      </c>
      <c r="D199" s="2">
        <v>45396</v>
      </c>
      <c r="E199" s="3">
        <v>0.5</v>
      </c>
      <c r="F199" s="1" t="s">
        <v>18</v>
      </c>
      <c r="G199" s="1" t="s">
        <v>65</v>
      </c>
      <c r="H199" s="1" t="s">
        <v>34</v>
      </c>
      <c r="I199" s="4">
        <v>4341</v>
      </c>
      <c r="J199" s="1" t="s">
        <v>44</v>
      </c>
      <c r="K199" s="1">
        <v>2024</v>
      </c>
      <c r="L199" s="1">
        <v>33</v>
      </c>
      <c r="M199" s="1">
        <v>6541</v>
      </c>
      <c r="N199" s="1">
        <v>0.66365999082709071</v>
      </c>
    </row>
    <row r="200" spans="1:14" x14ac:dyDescent="0.35">
      <c r="A200" s="1" t="s">
        <v>70</v>
      </c>
      <c r="B200" s="1">
        <v>1</v>
      </c>
      <c r="C200" s="1" t="s">
        <v>15</v>
      </c>
      <c r="D200" s="2">
        <v>45409</v>
      </c>
      <c r="E200" s="3">
        <v>0.625</v>
      </c>
      <c r="F200" s="1" t="s">
        <v>30</v>
      </c>
      <c r="G200" s="1" t="s">
        <v>33</v>
      </c>
      <c r="H200" s="1" t="s">
        <v>22</v>
      </c>
      <c r="I200" s="4">
        <v>14794</v>
      </c>
      <c r="J200" s="1" t="s">
        <v>48</v>
      </c>
      <c r="K200" s="1">
        <v>2024</v>
      </c>
      <c r="L200" s="1">
        <v>34</v>
      </c>
      <c r="M200" s="1">
        <v>21412</v>
      </c>
      <c r="N200" s="1">
        <v>0.69092097889034187</v>
      </c>
    </row>
    <row r="201" spans="1:14" x14ac:dyDescent="0.35">
      <c r="A201" s="1" t="s">
        <v>69</v>
      </c>
      <c r="B201" s="1">
        <v>1</v>
      </c>
      <c r="C201" s="1" t="s">
        <v>15</v>
      </c>
      <c r="D201" s="2">
        <v>45409</v>
      </c>
      <c r="E201" s="3">
        <v>0.625</v>
      </c>
      <c r="F201" s="1" t="s">
        <v>32</v>
      </c>
      <c r="G201" s="1" t="s">
        <v>29</v>
      </c>
      <c r="H201" s="1" t="s">
        <v>26</v>
      </c>
      <c r="I201" s="4">
        <v>6677</v>
      </c>
      <c r="J201" s="1" t="s">
        <v>35</v>
      </c>
      <c r="K201" s="1">
        <v>2024</v>
      </c>
      <c r="L201" s="1">
        <v>34</v>
      </c>
      <c r="M201" s="1">
        <v>18128</v>
      </c>
      <c r="N201" s="1">
        <v>0.36832524271844658</v>
      </c>
    </row>
    <row r="202" spans="1:14" x14ac:dyDescent="0.35">
      <c r="A202" s="1" t="s">
        <v>70</v>
      </c>
      <c r="B202" s="1">
        <v>1</v>
      </c>
      <c r="C202" s="1" t="s">
        <v>15</v>
      </c>
      <c r="D202" s="2">
        <v>45409</v>
      </c>
      <c r="E202" s="3">
        <v>0.625</v>
      </c>
      <c r="F202" s="1" t="s">
        <v>28</v>
      </c>
      <c r="G202" s="1" t="s">
        <v>43</v>
      </c>
      <c r="H202" s="1" t="s">
        <v>18</v>
      </c>
      <c r="I202" s="4">
        <v>1531</v>
      </c>
      <c r="J202" s="1" t="s">
        <v>31</v>
      </c>
      <c r="K202" s="1">
        <v>2024</v>
      </c>
      <c r="L202" s="1">
        <v>34</v>
      </c>
      <c r="M202" s="1">
        <v>9672</v>
      </c>
      <c r="N202" s="1">
        <v>0.15829197684036395</v>
      </c>
    </row>
    <row r="203" spans="1:14" x14ac:dyDescent="0.35">
      <c r="A203" s="1" t="s">
        <v>70</v>
      </c>
      <c r="B203" s="1">
        <v>1</v>
      </c>
      <c r="C203" s="1" t="s">
        <v>15</v>
      </c>
      <c r="D203" s="2">
        <v>45409</v>
      </c>
      <c r="E203" s="3">
        <v>0.625</v>
      </c>
      <c r="F203" s="1" t="s">
        <v>24</v>
      </c>
      <c r="G203" s="1" t="s">
        <v>47</v>
      </c>
      <c r="H203" s="1" t="s">
        <v>37</v>
      </c>
      <c r="I203" s="4">
        <v>4450</v>
      </c>
      <c r="J203" s="1" t="s">
        <v>27</v>
      </c>
      <c r="K203" s="1">
        <v>2024</v>
      </c>
      <c r="L203" s="1">
        <v>34</v>
      </c>
      <c r="M203" s="1">
        <v>10700</v>
      </c>
      <c r="N203" s="1">
        <v>0.41588785046728971</v>
      </c>
    </row>
    <row r="204" spans="1:14" x14ac:dyDescent="0.35">
      <c r="A204" s="1" t="s">
        <v>69</v>
      </c>
      <c r="B204" s="1">
        <v>1</v>
      </c>
      <c r="C204" s="1" t="s">
        <v>36</v>
      </c>
      <c r="D204" s="2">
        <v>45410</v>
      </c>
      <c r="E204" s="3">
        <v>0.52083333333333337</v>
      </c>
      <c r="F204" s="1" t="s">
        <v>39</v>
      </c>
      <c r="G204" s="1" t="s">
        <v>55</v>
      </c>
      <c r="H204" s="1" t="s">
        <v>34</v>
      </c>
      <c r="I204" s="4">
        <v>6800</v>
      </c>
      <c r="J204" s="1" t="s">
        <v>46</v>
      </c>
      <c r="K204" s="1">
        <v>2024</v>
      </c>
      <c r="L204" s="1">
        <v>34</v>
      </c>
      <c r="M204" s="1">
        <v>8006</v>
      </c>
      <c r="N204" s="1">
        <v>0.84936297776667502</v>
      </c>
    </row>
    <row r="205" spans="1:14" x14ac:dyDescent="0.35">
      <c r="A205" s="1" t="s">
        <v>69</v>
      </c>
      <c r="B205" s="1">
        <v>1</v>
      </c>
      <c r="C205" s="1" t="s">
        <v>36</v>
      </c>
      <c r="D205" s="2">
        <v>45410</v>
      </c>
      <c r="E205" s="3">
        <v>0.625</v>
      </c>
      <c r="F205" s="1" t="s">
        <v>20</v>
      </c>
      <c r="G205" s="1" t="s">
        <v>55</v>
      </c>
      <c r="H205" s="1" t="s">
        <v>16</v>
      </c>
      <c r="I205" s="4">
        <v>9120</v>
      </c>
      <c r="J205" s="1" t="s">
        <v>23</v>
      </c>
      <c r="K205" s="1">
        <v>2024</v>
      </c>
      <c r="L205" s="1">
        <v>34</v>
      </c>
      <c r="M205" s="1">
        <v>11850</v>
      </c>
      <c r="N205" s="1">
        <v>0.76962025316455696</v>
      </c>
    </row>
    <row r="206" spans="1:14" x14ac:dyDescent="0.35">
      <c r="A206" s="1" t="s">
        <v>70</v>
      </c>
      <c r="B206" s="1">
        <v>2</v>
      </c>
      <c r="C206" s="1" t="s">
        <v>15</v>
      </c>
      <c r="D206" s="2">
        <v>45416</v>
      </c>
      <c r="E206" s="3">
        <v>0.625</v>
      </c>
      <c r="F206" s="1" t="s">
        <v>30</v>
      </c>
      <c r="G206" s="1" t="s">
        <v>33</v>
      </c>
      <c r="H206" s="1" t="s">
        <v>24</v>
      </c>
      <c r="I206" s="4">
        <v>15537</v>
      </c>
      <c r="J206" s="1" t="s">
        <v>48</v>
      </c>
      <c r="K206" s="1">
        <v>2024</v>
      </c>
      <c r="L206" s="1">
        <v>35</v>
      </c>
      <c r="M206" s="1">
        <v>21412</v>
      </c>
      <c r="N206" s="1">
        <v>0.7256211470203624</v>
      </c>
    </row>
    <row r="207" spans="1:14" x14ac:dyDescent="0.35">
      <c r="A207" s="1" t="s">
        <v>69</v>
      </c>
      <c r="B207" s="1">
        <v>2</v>
      </c>
      <c r="C207" s="1" t="s">
        <v>15</v>
      </c>
      <c r="D207" s="2">
        <v>45416</v>
      </c>
      <c r="E207" s="3">
        <v>0.625</v>
      </c>
      <c r="F207" s="1" t="s">
        <v>16</v>
      </c>
      <c r="G207" s="1" t="s">
        <v>53</v>
      </c>
      <c r="H207" s="1" t="s">
        <v>26</v>
      </c>
      <c r="I207" s="4">
        <v>59038</v>
      </c>
      <c r="J207" s="1" t="s">
        <v>19</v>
      </c>
      <c r="K207" s="1">
        <v>2024</v>
      </c>
      <c r="L207" s="1">
        <v>35</v>
      </c>
      <c r="M207" s="1">
        <v>60500</v>
      </c>
      <c r="N207" s="1">
        <v>0.97583471074380168</v>
      </c>
    </row>
    <row r="208" spans="1:14" x14ac:dyDescent="0.35">
      <c r="A208" s="1" t="s">
        <v>69</v>
      </c>
      <c r="B208" s="1">
        <v>2</v>
      </c>
      <c r="C208" s="1" t="s">
        <v>15</v>
      </c>
      <c r="D208" s="2">
        <v>45416</v>
      </c>
      <c r="E208" s="3">
        <v>0.625</v>
      </c>
      <c r="F208" s="1" t="s">
        <v>20</v>
      </c>
      <c r="G208" s="1" t="s">
        <v>47</v>
      </c>
      <c r="H208" s="1" t="s">
        <v>39</v>
      </c>
      <c r="I208" s="4">
        <v>6877</v>
      </c>
      <c r="J208" s="1" t="s">
        <v>23</v>
      </c>
      <c r="K208" s="1">
        <v>2024</v>
      </c>
      <c r="L208" s="1">
        <v>35</v>
      </c>
      <c r="M208" s="1">
        <v>11850</v>
      </c>
      <c r="N208" s="1">
        <v>0.580337552742616</v>
      </c>
    </row>
    <row r="209" spans="1:14" x14ac:dyDescent="0.35">
      <c r="A209" s="1" t="s">
        <v>70</v>
      </c>
      <c r="B209" s="1">
        <v>2</v>
      </c>
      <c r="C209" s="1" t="s">
        <v>15</v>
      </c>
      <c r="D209" s="2">
        <v>45416</v>
      </c>
      <c r="E209" s="3">
        <v>0.625</v>
      </c>
      <c r="F209" s="1" t="s">
        <v>22</v>
      </c>
      <c r="G209" s="1" t="s">
        <v>64</v>
      </c>
      <c r="H209" s="1" t="s">
        <v>28</v>
      </c>
      <c r="I209" s="4">
        <v>4161</v>
      </c>
      <c r="J209" s="1" t="s">
        <v>49</v>
      </c>
      <c r="K209" s="1">
        <v>2024</v>
      </c>
      <c r="L209" s="1">
        <v>35</v>
      </c>
      <c r="M209" s="1">
        <v>13750</v>
      </c>
      <c r="N209" s="1">
        <v>0.30261818181818184</v>
      </c>
    </row>
    <row r="210" spans="1:14" x14ac:dyDescent="0.35">
      <c r="A210" s="1" t="s">
        <v>70</v>
      </c>
      <c r="B210" s="1">
        <v>2</v>
      </c>
      <c r="C210" s="1" t="s">
        <v>15</v>
      </c>
      <c r="D210" s="2">
        <v>45416</v>
      </c>
      <c r="E210" s="3">
        <v>0.625</v>
      </c>
      <c r="F210" s="1" t="s">
        <v>18</v>
      </c>
      <c r="G210" s="1" t="s">
        <v>45</v>
      </c>
      <c r="H210" s="1" t="s">
        <v>37</v>
      </c>
      <c r="I210" s="4">
        <v>3856</v>
      </c>
      <c r="J210" s="1" t="s">
        <v>44</v>
      </c>
      <c r="K210" s="1">
        <v>2024</v>
      </c>
      <c r="L210" s="1">
        <v>35</v>
      </c>
      <c r="M210" s="1">
        <v>6541</v>
      </c>
      <c r="N210" s="1">
        <v>0.58951230698669932</v>
      </c>
    </row>
    <row r="211" spans="1:14" x14ac:dyDescent="0.35">
      <c r="A211" s="1" t="s">
        <v>69</v>
      </c>
      <c r="B211" s="1">
        <v>2</v>
      </c>
      <c r="C211" s="1" t="s">
        <v>36</v>
      </c>
      <c r="D211" s="2">
        <v>45417</v>
      </c>
      <c r="E211" s="3">
        <v>0.54166666666666663</v>
      </c>
      <c r="F211" s="1" t="s">
        <v>34</v>
      </c>
      <c r="G211" s="1" t="s">
        <v>64</v>
      </c>
      <c r="H211" s="1" t="s">
        <v>32</v>
      </c>
      <c r="I211" s="4">
        <v>49553</v>
      </c>
      <c r="J211" s="1" t="s">
        <v>42</v>
      </c>
      <c r="K211" s="1">
        <v>2024</v>
      </c>
      <c r="L211" s="1">
        <v>35</v>
      </c>
      <c r="M211" s="1">
        <v>51082</v>
      </c>
      <c r="N211" s="1">
        <v>0.97006773423123605</v>
      </c>
    </row>
    <row r="212" spans="1:14" x14ac:dyDescent="0.35">
      <c r="A212" s="1" t="s">
        <v>69</v>
      </c>
      <c r="B212" s="1">
        <v>3</v>
      </c>
      <c r="C212" s="1" t="s">
        <v>15</v>
      </c>
      <c r="D212" s="2">
        <v>45423</v>
      </c>
      <c r="E212" s="3">
        <v>0.52083333333333337</v>
      </c>
      <c r="F212" s="1" t="s">
        <v>16</v>
      </c>
      <c r="G212" s="1" t="s">
        <v>45</v>
      </c>
      <c r="H212" s="1" t="s">
        <v>34</v>
      </c>
      <c r="I212" s="4">
        <v>59622</v>
      </c>
      <c r="J212" s="1" t="s">
        <v>19</v>
      </c>
      <c r="K212" s="1">
        <v>2024</v>
      </c>
      <c r="L212" s="1">
        <v>36</v>
      </c>
      <c r="M212" s="1">
        <v>60500</v>
      </c>
      <c r="N212" s="1">
        <v>0.98548760330578511</v>
      </c>
    </row>
    <row r="213" spans="1:14" x14ac:dyDescent="0.35">
      <c r="A213" s="1" t="s">
        <v>69</v>
      </c>
      <c r="B213" s="1">
        <v>3</v>
      </c>
      <c r="C213" s="1" t="s">
        <v>15</v>
      </c>
      <c r="D213" s="2">
        <v>45423</v>
      </c>
      <c r="E213" s="3">
        <v>0.625</v>
      </c>
      <c r="F213" s="1" t="s">
        <v>26</v>
      </c>
      <c r="G213" s="1" t="s">
        <v>53</v>
      </c>
      <c r="H213" s="1" t="s">
        <v>20</v>
      </c>
      <c r="I213" s="4">
        <v>18757</v>
      </c>
      <c r="J213" s="1" t="s">
        <v>50</v>
      </c>
      <c r="K213" s="1">
        <v>2024</v>
      </c>
      <c r="L213" s="1">
        <v>36</v>
      </c>
      <c r="M213" s="1">
        <v>19852</v>
      </c>
      <c r="N213" s="1">
        <v>0.94484182953858553</v>
      </c>
    </row>
    <row r="214" spans="1:14" x14ac:dyDescent="0.35">
      <c r="A214" s="1" t="s">
        <v>70</v>
      </c>
      <c r="B214" s="1">
        <v>3</v>
      </c>
      <c r="C214" s="1" t="s">
        <v>15</v>
      </c>
      <c r="D214" s="2">
        <v>45423</v>
      </c>
      <c r="E214" s="3">
        <v>0.625</v>
      </c>
      <c r="F214" s="1" t="s">
        <v>28</v>
      </c>
      <c r="G214" s="1" t="s">
        <v>45</v>
      </c>
      <c r="H214" s="1" t="s">
        <v>24</v>
      </c>
      <c r="I214" s="4">
        <v>1242</v>
      </c>
      <c r="J214" s="1" t="s">
        <v>31</v>
      </c>
      <c r="K214" s="1">
        <v>2024</v>
      </c>
      <c r="L214" s="1">
        <v>36</v>
      </c>
      <c r="M214" s="1">
        <v>9672</v>
      </c>
      <c r="N214" s="1">
        <v>0.12841191066997518</v>
      </c>
    </row>
    <row r="215" spans="1:14" x14ac:dyDescent="0.35">
      <c r="A215" s="1" t="s">
        <v>70</v>
      </c>
      <c r="B215" s="1">
        <v>3</v>
      </c>
      <c r="C215" s="1" t="s">
        <v>15</v>
      </c>
      <c r="D215" s="2">
        <v>45423</v>
      </c>
      <c r="E215" s="3">
        <v>0.625</v>
      </c>
      <c r="F215" s="1" t="s">
        <v>18</v>
      </c>
      <c r="G215" s="1" t="s">
        <v>71</v>
      </c>
      <c r="H215" s="1" t="s">
        <v>22</v>
      </c>
      <c r="I215" s="4">
        <v>3399</v>
      </c>
      <c r="J215" s="1" t="s">
        <v>44</v>
      </c>
      <c r="K215" s="1">
        <v>2024</v>
      </c>
      <c r="L215" s="1">
        <v>36</v>
      </c>
      <c r="M215" s="1">
        <v>6541</v>
      </c>
      <c r="N215" s="1">
        <v>0.51964531417214488</v>
      </c>
    </row>
    <row r="216" spans="1:14" x14ac:dyDescent="0.35">
      <c r="A216" s="1" t="s">
        <v>69</v>
      </c>
      <c r="B216" s="1">
        <v>3</v>
      </c>
      <c r="C216" s="1" t="s">
        <v>15</v>
      </c>
      <c r="D216" s="2">
        <v>45423</v>
      </c>
      <c r="E216" s="3">
        <v>0.625</v>
      </c>
      <c r="F216" s="1" t="s">
        <v>39</v>
      </c>
      <c r="G216" s="1" t="s">
        <v>52</v>
      </c>
      <c r="H216" s="1" t="s">
        <v>32</v>
      </c>
      <c r="I216" s="4">
        <v>7645</v>
      </c>
      <c r="J216" s="1" t="s">
        <v>46</v>
      </c>
      <c r="K216" s="1">
        <v>2024</v>
      </c>
      <c r="L216" s="1">
        <v>36</v>
      </c>
      <c r="M216" s="1">
        <v>8006</v>
      </c>
      <c r="N216" s="1">
        <v>0.95490881838621033</v>
      </c>
    </row>
    <row r="217" spans="1:14" x14ac:dyDescent="0.35">
      <c r="A217" s="1" t="s">
        <v>70</v>
      </c>
      <c r="B217" s="1">
        <v>3</v>
      </c>
      <c r="C217" s="1" t="s">
        <v>36</v>
      </c>
      <c r="D217" s="2">
        <v>45424</v>
      </c>
      <c r="E217" s="3">
        <v>0.625</v>
      </c>
      <c r="F217" s="1" t="s">
        <v>37</v>
      </c>
      <c r="G217" s="1" t="s">
        <v>72</v>
      </c>
      <c r="H217" s="1" t="s">
        <v>30</v>
      </c>
      <c r="I217" s="4">
        <v>16044</v>
      </c>
      <c r="J217" s="1" t="s">
        <v>40</v>
      </c>
      <c r="K217" s="1">
        <v>2024</v>
      </c>
      <c r="L217" s="1">
        <v>36</v>
      </c>
      <c r="M217" s="1">
        <v>20250</v>
      </c>
      <c r="N217" s="1">
        <v>0.79229629629629628</v>
      </c>
    </row>
    <row r="218" spans="1:14" x14ac:dyDescent="0.35">
      <c r="A218" s="1" t="s">
        <v>69</v>
      </c>
      <c r="B218" s="1">
        <v>4</v>
      </c>
      <c r="C218" s="1" t="s">
        <v>58</v>
      </c>
      <c r="D218" s="2">
        <v>45426</v>
      </c>
      <c r="E218" s="3">
        <v>0.8125</v>
      </c>
      <c r="F218" s="1" t="s">
        <v>34</v>
      </c>
      <c r="G218" s="1" t="s">
        <v>68</v>
      </c>
      <c r="H218" s="1" t="s">
        <v>20</v>
      </c>
      <c r="I218" s="4">
        <v>45760</v>
      </c>
      <c r="J218" s="1" t="s">
        <v>42</v>
      </c>
      <c r="K218" s="1">
        <v>2024</v>
      </c>
      <c r="L218" s="1">
        <v>37</v>
      </c>
      <c r="M218" s="1">
        <v>51082</v>
      </c>
      <c r="N218" s="1">
        <v>0.89581457264789943</v>
      </c>
    </row>
    <row r="219" spans="1:14" x14ac:dyDescent="0.35">
      <c r="A219" s="1" t="s">
        <v>69</v>
      </c>
      <c r="B219" s="1">
        <v>4</v>
      </c>
      <c r="C219" s="1" t="s">
        <v>60</v>
      </c>
      <c r="D219" s="2">
        <v>45427</v>
      </c>
      <c r="E219" s="3">
        <v>0.8125</v>
      </c>
      <c r="F219" s="1" t="s">
        <v>32</v>
      </c>
      <c r="G219" s="1" t="s">
        <v>62</v>
      </c>
      <c r="H219" s="1" t="s">
        <v>16</v>
      </c>
      <c r="I219" s="4">
        <v>9595</v>
      </c>
      <c r="J219" s="1" t="s">
        <v>35</v>
      </c>
      <c r="K219" s="1">
        <v>2024</v>
      </c>
      <c r="L219" s="1">
        <v>37</v>
      </c>
      <c r="M219" s="1">
        <v>18128</v>
      </c>
      <c r="N219" s="1">
        <v>0.5292917034421889</v>
      </c>
    </row>
    <row r="220" spans="1:14" x14ac:dyDescent="0.35">
      <c r="A220" s="1" t="s">
        <v>70</v>
      </c>
      <c r="B220" s="1">
        <v>4</v>
      </c>
      <c r="C220" s="1" t="s">
        <v>60</v>
      </c>
      <c r="D220" s="2">
        <v>45427</v>
      </c>
      <c r="E220" s="3">
        <v>0.82291666666666663</v>
      </c>
      <c r="F220" s="1" t="s">
        <v>30</v>
      </c>
      <c r="G220" s="1" t="s">
        <v>73</v>
      </c>
      <c r="H220" s="1" t="s">
        <v>28</v>
      </c>
      <c r="I220" s="4">
        <v>15043</v>
      </c>
      <c r="J220" s="1" t="s">
        <v>48</v>
      </c>
      <c r="K220" s="1">
        <v>2024</v>
      </c>
      <c r="L220" s="1">
        <v>37</v>
      </c>
      <c r="M220" s="1">
        <v>21412</v>
      </c>
      <c r="N220" s="1">
        <v>0.70254997197832991</v>
      </c>
    </row>
    <row r="221" spans="1:14" x14ac:dyDescent="0.35">
      <c r="A221" s="1" t="s">
        <v>70</v>
      </c>
      <c r="B221" s="1">
        <v>4</v>
      </c>
      <c r="C221" s="1" t="s">
        <v>60</v>
      </c>
      <c r="D221" s="2">
        <v>45427</v>
      </c>
      <c r="E221" s="3">
        <v>0.82291666666666663</v>
      </c>
      <c r="F221" s="1" t="s">
        <v>37</v>
      </c>
      <c r="G221" s="1" t="s">
        <v>53</v>
      </c>
      <c r="H221" s="1" t="s">
        <v>22</v>
      </c>
      <c r="I221" s="4">
        <v>15451</v>
      </c>
      <c r="J221" s="1" t="s">
        <v>40</v>
      </c>
      <c r="K221" s="1">
        <v>2024</v>
      </c>
      <c r="L221" s="1">
        <v>37</v>
      </c>
      <c r="M221" s="1">
        <v>20250</v>
      </c>
      <c r="N221" s="1">
        <v>0.76301234567901233</v>
      </c>
    </row>
    <row r="222" spans="1:14" x14ac:dyDescent="0.35">
      <c r="A222" s="1" t="s">
        <v>70</v>
      </c>
      <c r="B222" s="1">
        <v>4</v>
      </c>
      <c r="C222" s="1" t="s">
        <v>60</v>
      </c>
      <c r="D222" s="2">
        <v>45427</v>
      </c>
      <c r="E222" s="3">
        <v>0.82291666666666663</v>
      </c>
      <c r="F222" s="1" t="s">
        <v>24</v>
      </c>
      <c r="G222" s="1" t="s">
        <v>21</v>
      </c>
      <c r="H222" s="1" t="s">
        <v>18</v>
      </c>
      <c r="I222" s="4">
        <v>4202</v>
      </c>
      <c r="J222" s="1" t="s">
        <v>27</v>
      </c>
      <c r="K222" s="1">
        <v>2024</v>
      </c>
      <c r="L222" s="1">
        <v>37</v>
      </c>
      <c r="M222" s="1">
        <v>10700</v>
      </c>
      <c r="N222" s="1">
        <v>0.39271028037383177</v>
      </c>
    </row>
    <row r="223" spans="1:14" x14ac:dyDescent="0.35">
      <c r="A223" s="1" t="s">
        <v>69</v>
      </c>
      <c r="B223" s="1">
        <v>4</v>
      </c>
      <c r="C223" s="1" t="s">
        <v>60</v>
      </c>
      <c r="D223" s="2">
        <v>45427</v>
      </c>
      <c r="E223" s="3">
        <v>0.82291666666666663</v>
      </c>
      <c r="F223" s="1" t="s">
        <v>39</v>
      </c>
      <c r="G223" s="1" t="s">
        <v>51</v>
      </c>
      <c r="H223" s="1" t="s">
        <v>26</v>
      </c>
      <c r="I223" s="4">
        <v>7222</v>
      </c>
      <c r="J223" s="1" t="s">
        <v>46</v>
      </c>
      <c r="K223" s="1">
        <v>2024</v>
      </c>
      <c r="L223" s="1">
        <v>37</v>
      </c>
      <c r="M223" s="1">
        <v>8006</v>
      </c>
      <c r="N223" s="1">
        <v>0.90207344491631281</v>
      </c>
    </row>
    <row r="224" spans="1:14" x14ac:dyDescent="0.35">
      <c r="A224" s="1" t="s">
        <v>69</v>
      </c>
      <c r="B224" s="1">
        <v>5</v>
      </c>
      <c r="C224" s="1" t="s">
        <v>15</v>
      </c>
      <c r="D224" s="2">
        <v>45430</v>
      </c>
      <c r="E224" s="3">
        <v>0.52083333333333337</v>
      </c>
      <c r="F224" s="1" t="s">
        <v>16</v>
      </c>
      <c r="G224" s="1" t="s">
        <v>65</v>
      </c>
      <c r="H224" s="1" t="s">
        <v>39</v>
      </c>
      <c r="I224" s="4">
        <v>58912</v>
      </c>
      <c r="J224" s="1" t="s">
        <v>19</v>
      </c>
      <c r="K224" s="1">
        <v>2024</v>
      </c>
      <c r="L224" s="1">
        <v>38</v>
      </c>
      <c r="M224" s="1">
        <v>60500</v>
      </c>
      <c r="N224" s="1">
        <v>0.97375206611570253</v>
      </c>
    </row>
    <row r="225" spans="1:14" x14ac:dyDescent="0.35">
      <c r="A225" s="1" t="s">
        <v>69</v>
      </c>
      <c r="B225" s="1">
        <v>5</v>
      </c>
      <c r="C225" s="1" t="s">
        <v>15</v>
      </c>
      <c r="D225" s="2">
        <v>45430</v>
      </c>
      <c r="E225" s="3">
        <v>0.52083333333333337</v>
      </c>
      <c r="F225" s="1" t="s">
        <v>20</v>
      </c>
      <c r="G225" s="1" t="s">
        <v>21</v>
      </c>
      <c r="H225" s="1" t="s">
        <v>32</v>
      </c>
      <c r="I225" s="4">
        <v>6637</v>
      </c>
      <c r="J225" s="1" t="s">
        <v>23</v>
      </c>
      <c r="K225" s="1">
        <v>2024</v>
      </c>
      <c r="L225" s="1">
        <v>38</v>
      </c>
      <c r="M225" s="1">
        <v>11850</v>
      </c>
      <c r="N225" s="1">
        <v>0.56008438818565398</v>
      </c>
    </row>
    <row r="226" spans="1:14" x14ac:dyDescent="0.35">
      <c r="A226" s="1" t="s">
        <v>69</v>
      </c>
      <c r="B226" s="1">
        <v>5</v>
      </c>
      <c r="C226" s="1" t="s">
        <v>15</v>
      </c>
      <c r="D226" s="2">
        <v>45430</v>
      </c>
      <c r="E226" s="3">
        <v>0.52083333333333337</v>
      </c>
      <c r="F226" s="1" t="s">
        <v>26</v>
      </c>
      <c r="G226" s="1" t="s">
        <v>59</v>
      </c>
      <c r="H226" s="1" t="s">
        <v>34</v>
      </c>
      <c r="I226" s="4">
        <v>18131</v>
      </c>
      <c r="J226" s="1" t="s">
        <v>50</v>
      </c>
      <c r="K226" s="1">
        <v>2024</v>
      </c>
      <c r="L226" s="1">
        <v>38</v>
      </c>
      <c r="M226" s="1">
        <v>19852</v>
      </c>
      <c r="N226" s="1">
        <v>0.91330848277251664</v>
      </c>
    </row>
    <row r="227" spans="1:14" x14ac:dyDescent="0.35">
      <c r="A227" s="1" t="s">
        <v>70</v>
      </c>
      <c r="B227" s="1">
        <v>5</v>
      </c>
      <c r="C227" s="1" t="s">
        <v>36</v>
      </c>
      <c r="D227" s="2">
        <v>45431</v>
      </c>
      <c r="E227" s="3">
        <v>0.625</v>
      </c>
      <c r="F227" s="1" t="s">
        <v>28</v>
      </c>
      <c r="G227" s="1" t="s">
        <v>21</v>
      </c>
      <c r="H227" s="1" t="s">
        <v>37</v>
      </c>
      <c r="I227" s="4">
        <v>3064</v>
      </c>
      <c r="J227" s="1" t="s">
        <v>31</v>
      </c>
      <c r="K227" s="1">
        <v>2024</v>
      </c>
      <c r="L227" s="1">
        <v>38</v>
      </c>
      <c r="M227" s="1">
        <v>9672</v>
      </c>
      <c r="N227" s="1">
        <v>0.31679073614557485</v>
      </c>
    </row>
    <row r="228" spans="1:14" x14ac:dyDescent="0.35">
      <c r="A228" s="1" t="s">
        <v>70</v>
      </c>
      <c r="B228" s="1">
        <v>5</v>
      </c>
      <c r="C228" s="1" t="s">
        <v>36</v>
      </c>
      <c r="D228" s="2">
        <v>45431</v>
      </c>
      <c r="E228" s="3">
        <v>0.625</v>
      </c>
      <c r="F228" s="1" t="s">
        <v>22</v>
      </c>
      <c r="G228" s="1" t="s">
        <v>55</v>
      </c>
      <c r="H228" s="1" t="s">
        <v>24</v>
      </c>
      <c r="I228" s="4">
        <v>5571</v>
      </c>
      <c r="J228" s="1" t="s">
        <v>49</v>
      </c>
      <c r="K228" s="1">
        <v>2024</v>
      </c>
      <c r="L228" s="1">
        <v>38</v>
      </c>
      <c r="M228" s="1">
        <v>13750</v>
      </c>
      <c r="N228" s="1">
        <v>0.40516363636363634</v>
      </c>
    </row>
    <row r="229" spans="1:14" x14ac:dyDescent="0.35">
      <c r="A229" s="1" t="s">
        <v>70</v>
      </c>
      <c r="B229" s="1">
        <v>5</v>
      </c>
      <c r="C229" s="1" t="s">
        <v>36</v>
      </c>
      <c r="D229" s="2">
        <v>45431</v>
      </c>
      <c r="E229" s="3">
        <v>0.625</v>
      </c>
      <c r="F229" s="1" t="s">
        <v>18</v>
      </c>
      <c r="G229" s="1" t="s">
        <v>51</v>
      </c>
      <c r="H229" s="1" t="s">
        <v>30</v>
      </c>
      <c r="I229" s="4">
        <v>6119</v>
      </c>
      <c r="J229" s="1" t="s">
        <v>44</v>
      </c>
      <c r="K229" s="1">
        <v>2024</v>
      </c>
      <c r="L229" s="1">
        <v>38</v>
      </c>
      <c r="M229" s="1">
        <v>6541</v>
      </c>
      <c r="N229" s="1">
        <v>0.93548387096774188</v>
      </c>
    </row>
  </sheetData>
  <sortState xmlns:xlrd2="http://schemas.microsoft.com/office/spreadsheetml/2017/richdata2" ref="A2:N229">
    <sortCondition ref="L2:L229"/>
    <sortCondition ref="D2:D229"/>
    <sortCondition ref="E2:E229"/>
    <sortCondition ref="F2:F2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3838-B2AC-423D-8C81-3D9ABED02B83}">
  <dimension ref="A1:N229"/>
  <sheetViews>
    <sheetView topLeftCell="A189" workbookViewId="0">
      <selection activeCell="L194" sqref="L194:L199"/>
    </sheetView>
  </sheetViews>
  <sheetFormatPr defaultRowHeight="14.5" x14ac:dyDescent="0.35"/>
  <cols>
    <col min="1" max="1" width="18.54296875" bestFit="1" customWidth="1"/>
    <col min="2" max="2" width="3.54296875" bestFit="1" customWidth="1"/>
    <col min="3" max="3" width="4.7265625" bestFit="1" customWidth="1"/>
    <col min="4" max="4" width="10.453125" bestFit="1" customWidth="1"/>
    <col min="5" max="5" width="5.36328125" bestFit="1" customWidth="1"/>
    <col min="6" max="6" width="13.453125" bestFit="1" customWidth="1"/>
    <col min="7" max="7" width="9.26953125" bestFit="1" customWidth="1"/>
    <col min="8" max="8" width="13.453125" bestFit="1" customWidth="1"/>
    <col min="9" max="9" width="10.36328125" bestFit="1" customWidth="1"/>
    <col min="10" max="10" width="22.90625" bestFit="1" customWidth="1"/>
    <col min="11" max="11" width="13.453125" bestFit="1" customWidth="1"/>
    <col min="12" max="12" width="4.81640625" bestFit="1" customWidth="1"/>
    <col min="13" max="13" width="8" bestFit="1" customWidth="1"/>
    <col min="14" max="14" width="5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74</v>
      </c>
      <c r="B2">
        <v>1</v>
      </c>
      <c r="C2" t="s">
        <v>15</v>
      </c>
      <c r="D2" s="5">
        <v>44772</v>
      </c>
      <c r="E2" s="8">
        <v>0.5</v>
      </c>
      <c r="F2" t="s">
        <v>28</v>
      </c>
      <c r="G2" t="s">
        <v>55</v>
      </c>
      <c r="H2" t="s">
        <v>34</v>
      </c>
      <c r="I2" s="7">
        <v>9672</v>
      </c>
      <c r="J2" t="s">
        <v>31</v>
      </c>
      <c r="K2">
        <v>2023</v>
      </c>
      <c r="L2" s="1">
        <f t="shared" ref="L2:L33" si="0">B2</f>
        <v>1</v>
      </c>
      <c r="M2">
        <f>_xlfn.XLOOKUP(J2,Capacities!$A$2:$A$15,Capacities!$B$2:$B$15)</f>
        <v>9672</v>
      </c>
      <c r="N2">
        <f t="shared" ref="N2:N65" si="1">I2/M2</f>
        <v>1</v>
      </c>
    </row>
    <row r="3" spans="1:14" x14ac:dyDescent="0.35">
      <c r="A3" t="s">
        <v>74</v>
      </c>
      <c r="B3">
        <v>1</v>
      </c>
      <c r="C3" t="s">
        <v>15</v>
      </c>
      <c r="D3" s="5">
        <v>44772</v>
      </c>
      <c r="E3" s="8">
        <v>0.625</v>
      </c>
      <c r="F3" t="s">
        <v>26</v>
      </c>
      <c r="G3" t="s">
        <v>45</v>
      </c>
      <c r="H3" t="s">
        <v>18</v>
      </c>
      <c r="I3" s="7">
        <v>18202</v>
      </c>
      <c r="J3" t="s">
        <v>50</v>
      </c>
      <c r="K3">
        <v>2023</v>
      </c>
      <c r="L3" s="1">
        <f t="shared" si="0"/>
        <v>1</v>
      </c>
      <c r="M3">
        <f>_xlfn.XLOOKUP(J3,Capacities!$A$2:$A$15,Capacities!$B$2:$B$15)</f>
        <v>19852</v>
      </c>
      <c r="N3">
        <f t="shared" si="1"/>
        <v>0.91688494861978642</v>
      </c>
    </row>
    <row r="4" spans="1:14" x14ac:dyDescent="0.35">
      <c r="A4" t="s">
        <v>74</v>
      </c>
      <c r="B4">
        <v>1</v>
      </c>
      <c r="C4" t="s">
        <v>15</v>
      </c>
      <c r="D4" s="5">
        <v>44772</v>
      </c>
      <c r="E4" s="8">
        <v>0.625</v>
      </c>
      <c r="F4" t="s">
        <v>32</v>
      </c>
      <c r="G4" t="s">
        <v>21</v>
      </c>
      <c r="H4" t="s">
        <v>75</v>
      </c>
      <c r="I4" s="7">
        <v>8014</v>
      </c>
      <c r="J4" t="s">
        <v>35</v>
      </c>
      <c r="K4">
        <v>2023</v>
      </c>
      <c r="L4" s="1">
        <f t="shared" si="0"/>
        <v>1</v>
      </c>
      <c r="M4">
        <f>_xlfn.XLOOKUP(J4,Capacities!$A$2:$A$15,Capacities!$B$2:$B$15)</f>
        <v>18128</v>
      </c>
      <c r="N4">
        <f t="shared" si="1"/>
        <v>0.4420785525154457</v>
      </c>
    </row>
    <row r="5" spans="1:14" x14ac:dyDescent="0.35">
      <c r="A5" t="s">
        <v>74</v>
      </c>
      <c r="B5">
        <v>1</v>
      </c>
      <c r="C5" t="s">
        <v>15</v>
      </c>
      <c r="D5" s="5">
        <v>44772</v>
      </c>
      <c r="E5" s="8">
        <v>0.625</v>
      </c>
      <c r="F5" t="s">
        <v>24</v>
      </c>
      <c r="G5" t="s">
        <v>52</v>
      </c>
      <c r="H5" t="s">
        <v>37</v>
      </c>
      <c r="I5" s="7">
        <v>5793</v>
      </c>
      <c r="J5" t="s">
        <v>27</v>
      </c>
      <c r="K5">
        <v>2023</v>
      </c>
      <c r="L5" s="1">
        <f t="shared" si="0"/>
        <v>1</v>
      </c>
      <c r="M5">
        <f>_xlfn.XLOOKUP(J5,Capacities!$A$2:$A$15,Capacities!$B$2:$B$15)</f>
        <v>10700</v>
      </c>
      <c r="N5">
        <f t="shared" si="1"/>
        <v>0.54140186915887856</v>
      </c>
    </row>
    <row r="6" spans="1:14" x14ac:dyDescent="0.35">
      <c r="A6" t="s">
        <v>74</v>
      </c>
      <c r="B6">
        <v>1</v>
      </c>
      <c r="C6" t="s">
        <v>36</v>
      </c>
      <c r="D6" s="5">
        <v>44773</v>
      </c>
      <c r="E6" s="8">
        <v>0.625</v>
      </c>
      <c r="F6" t="s">
        <v>39</v>
      </c>
      <c r="G6" t="s">
        <v>52</v>
      </c>
      <c r="H6" t="s">
        <v>22</v>
      </c>
      <c r="I6" s="7">
        <v>5668</v>
      </c>
      <c r="J6" t="s">
        <v>46</v>
      </c>
      <c r="K6">
        <v>2023</v>
      </c>
      <c r="L6" s="1">
        <f t="shared" si="0"/>
        <v>1</v>
      </c>
      <c r="M6">
        <f>_xlfn.XLOOKUP(J6,Capacities!$A$2:$A$15,Capacities!$B$2:$B$15)</f>
        <v>8006</v>
      </c>
      <c r="N6">
        <f t="shared" si="1"/>
        <v>0.7079690232325756</v>
      </c>
    </row>
    <row r="7" spans="1:14" x14ac:dyDescent="0.35">
      <c r="A7" t="s">
        <v>74</v>
      </c>
      <c r="B7">
        <v>1</v>
      </c>
      <c r="C7" t="s">
        <v>36</v>
      </c>
      <c r="D7" s="5">
        <v>44773</v>
      </c>
      <c r="E7" s="8">
        <v>0.6875</v>
      </c>
      <c r="F7" t="s">
        <v>16</v>
      </c>
      <c r="G7" t="s">
        <v>43</v>
      </c>
      <c r="H7" t="s">
        <v>30</v>
      </c>
      <c r="I7" s="7">
        <v>58824</v>
      </c>
      <c r="J7" t="s">
        <v>19</v>
      </c>
      <c r="K7">
        <v>2023</v>
      </c>
      <c r="L7" s="1">
        <f t="shared" si="0"/>
        <v>1</v>
      </c>
      <c r="M7">
        <f>_xlfn.XLOOKUP(J7,Capacities!$A$2:$A$15,Capacities!$B$2:$B$15)</f>
        <v>60500</v>
      </c>
      <c r="N7">
        <f t="shared" si="1"/>
        <v>0.97229752066115704</v>
      </c>
    </row>
    <row r="8" spans="1:14" x14ac:dyDescent="0.35">
      <c r="A8" t="s">
        <v>74</v>
      </c>
      <c r="B8">
        <v>2</v>
      </c>
      <c r="C8" t="s">
        <v>15</v>
      </c>
      <c r="D8" s="5">
        <v>44779</v>
      </c>
      <c r="E8" s="8">
        <v>0.625</v>
      </c>
      <c r="F8" t="s">
        <v>30</v>
      </c>
      <c r="G8" t="s">
        <v>64</v>
      </c>
      <c r="H8" t="s">
        <v>39</v>
      </c>
      <c r="I8" s="7">
        <v>14420</v>
      </c>
      <c r="J8" t="s">
        <v>48</v>
      </c>
      <c r="K8">
        <v>2023</v>
      </c>
      <c r="L8" s="1">
        <f t="shared" si="0"/>
        <v>2</v>
      </c>
      <c r="M8">
        <f>_xlfn.XLOOKUP(J8,Capacities!$A$2:$A$15,Capacities!$B$2:$B$15)</f>
        <v>21412</v>
      </c>
      <c r="N8">
        <f t="shared" si="1"/>
        <v>0.6734541378666169</v>
      </c>
    </row>
    <row r="9" spans="1:14" x14ac:dyDescent="0.35">
      <c r="A9" t="s">
        <v>74</v>
      </c>
      <c r="B9">
        <v>2</v>
      </c>
      <c r="C9" t="s">
        <v>15</v>
      </c>
      <c r="D9" s="5">
        <v>44779</v>
      </c>
      <c r="E9" s="8">
        <v>0.625</v>
      </c>
      <c r="F9" t="s">
        <v>22</v>
      </c>
      <c r="G9" t="s">
        <v>55</v>
      </c>
      <c r="H9" t="s">
        <v>24</v>
      </c>
      <c r="I9" s="7">
        <v>4711</v>
      </c>
      <c r="J9" t="s">
        <v>49</v>
      </c>
      <c r="K9">
        <v>2023</v>
      </c>
      <c r="L9" s="1">
        <f t="shared" si="0"/>
        <v>2</v>
      </c>
      <c r="M9">
        <f>_xlfn.XLOOKUP(J9,Capacities!$A$2:$A$15,Capacities!$B$2:$B$15)</f>
        <v>13750</v>
      </c>
      <c r="N9">
        <f t="shared" si="1"/>
        <v>0.34261818181818182</v>
      </c>
    </row>
    <row r="10" spans="1:14" x14ac:dyDescent="0.35">
      <c r="A10" t="s">
        <v>74</v>
      </c>
      <c r="B10">
        <v>2</v>
      </c>
      <c r="C10" t="s">
        <v>15</v>
      </c>
      <c r="D10" s="5">
        <v>44779</v>
      </c>
      <c r="E10" s="8">
        <v>0.625</v>
      </c>
      <c r="F10" t="s">
        <v>34</v>
      </c>
      <c r="G10" t="s">
        <v>43</v>
      </c>
      <c r="H10" t="s">
        <v>32</v>
      </c>
      <c r="I10" s="7">
        <v>49600</v>
      </c>
      <c r="J10" t="s">
        <v>42</v>
      </c>
      <c r="K10">
        <v>2023</v>
      </c>
      <c r="L10" s="1">
        <f t="shared" si="0"/>
        <v>2</v>
      </c>
      <c r="M10">
        <f>_xlfn.XLOOKUP(J10,Capacities!$A$2:$A$15,Capacities!$B$2:$B$15)</f>
        <v>51082</v>
      </c>
      <c r="N10">
        <f t="shared" si="1"/>
        <v>0.97098782349947144</v>
      </c>
    </row>
    <row r="11" spans="1:14" x14ac:dyDescent="0.35">
      <c r="A11" t="s">
        <v>74</v>
      </c>
      <c r="B11">
        <v>2</v>
      </c>
      <c r="C11" t="s">
        <v>15</v>
      </c>
      <c r="D11" s="5">
        <v>44779</v>
      </c>
      <c r="E11" s="8">
        <v>0.625</v>
      </c>
      <c r="F11" t="s">
        <v>18</v>
      </c>
      <c r="G11" t="s">
        <v>47</v>
      </c>
      <c r="H11" t="s">
        <v>16</v>
      </c>
      <c r="I11" s="7">
        <v>5502</v>
      </c>
      <c r="J11" t="s">
        <v>44</v>
      </c>
      <c r="K11">
        <v>2023</v>
      </c>
      <c r="L11" s="1">
        <f t="shared" si="0"/>
        <v>2</v>
      </c>
      <c r="M11">
        <f>_xlfn.XLOOKUP(J11,Capacities!$A$2:$A$15,Capacities!$B$2:$B$15)</f>
        <v>6541</v>
      </c>
      <c r="N11">
        <f t="shared" si="1"/>
        <v>0.84115578657697598</v>
      </c>
    </row>
    <row r="12" spans="1:14" x14ac:dyDescent="0.35">
      <c r="A12" t="s">
        <v>74</v>
      </c>
      <c r="B12">
        <v>2</v>
      </c>
      <c r="C12" t="s">
        <v>36</v>
      </c>
      <c r="D12" s="5">
        <v>44780</v>
      </c>
      <c r="E12" s="8">
        <v>0.5</v>
      </c>
      <c r="F12" t="s">
        <v>37</v>
      </c>
      <c r="G12" t="s">
        <v>21</v>
      </c>
      <c r="H12" t="s">
        <v>26</v>
      </c>
      <c r="I12" s="7">
        <v>20179</v>
      </c>
      <c r="J12" t="s">
        <v>40</v>
      </c>
      <c r="K12">
        <v>2023</v>
      </c>
      <c r="L12" s="1">
        <f t="shared" si="0"/>
        <v>2</v>
      </c>
      <c r="M12">
        <f>_xlfn.XLOOKUP(J12,Capacities!$A$2:$A$15,Capacities!$B$2:$B$15)</f>
        <v>20250</v>
      </c>
      <c r="N12">
        <f t="shared" si="1"/>
        <v>0.99649382716049384</v>
      </c>
    </row>
    <row r="13" spans="1:14" x14ac:dyDescent="0.35">
      <c r="A13" t="s">
        <v>74</v>
      </c>
      <c r="B13">
        <v>2</v>
      </c>
      <c r="C13" t="s">
        <v>36</v>
      </c>
      <c r="D13" s="5">
        <v>44780</v>
      </c>
      <c r="E13" s="8">
        <v>0.625</v>
      </c>
      <c r="F13" t="s">
        <v>75</v>
      </c>
      <c r="G13" t="s">
        <v>52</v>
      </c>
      <c r="H13" t="s">
        <v>28</v>
      </c>
      <c r="I13" s="7">
        <v>7442</v>
      </c>
      <c r="J13" t="s">
        <v>76</v>
      </c>
      <c r="K13">
        <v>2023</v>
      </c>
      <c r="L13" s="1">
        <f t="shared" si="0"/>
        <v>2</v>
      </c>
      <c r="M13">
        <f>_xlfn.XLOOKUP(J13,Capacities!$A$2:$A$15,Capacities!$B$2:$B$15)</f>
        <v>14223</v>
      </c>
      <c r="N13">
        <f t="shared" si="1"/>
        <v>0.52323701047598958</v>
      </c>
    </row>
    <row r="14" spans="1:14" x14ac:dyDescent="0.35">
      <c r="A14" t="s">
        <v>74</v>
      </c>
      <c r="B14">
        <v>3</v>
      </c>
      <c r="C14" t="s">
        <v>15</v>
      </c>
      <c r="D14" s="5">
        <v>44786</v>
      </c>
      <c r="E14" s="8">
        <v>0.625</v>
      </c>
      <c r="F14" t="s">
        <v>30</v>
      </c>
      <c r="G14" t="s">
        <v>38</v>
      </c>
      <c r="H14" t="s">
        <v>22</v>
      </c>
      <c r="I14" s="7">
        <v>14714</v>
      </c>
      <c r="J14" t="s">
        <v>48</v>
      </c>
      <c r="K14">
        <v>2023</v>
      </c>
      <c r="L14" s="1">
        <f t="shared" si="0"/>
        <v>3</v>
      </c>
      <c r="M14">
        <f>_xlfn.XLOOKUP(J14,Capacities!$A$2:$A$15,Capacities!$B$2:$B$15)</f>
        <v>21412</v>
      </c>
      <c r="N14">
        <f t="shared" si="1"/>
        <v>0.68718475621147024</v>
      </c>
    </row>
    <row r="15" spans="1:14" x14ac:dyDescent="0.35">
      <c r="A15" t="s">
        <v>74</v>
      </c>
      <c r="B15">
        <v>3</v>
      </c>
      <c r="C15" t="s">
        <v>15</v>
      </c>
      <c r="D15" s="5">
        <v>44786</v>
      </c>
      <c r="E15" s="8">
        <v>0.625</v>
      </c>
      <c r="F15" t="s">
        <v>28</v>
      </c>
      <c r="G15" t="s">
        <v>45</v>
      </c>
      <c r="H15" t="s">
        <v>37</v>
      </c>
      <c r="I15" s="7">
        <v>3854</v>
      </c>
      <c r="J15" t="s">
        <v>31</v>
      </c>
      <c r="K15">
        <v>2023</v>
      </c>
      <c r="L15" s="1">
        <f t="shared" si="0"/>
        <v>3</v>
      </c>
      <c r="M15">
        <f>_xlfn.XLOOKUP(J15,Capacities!$A$2:$A$15,Capacities!$B$2:$B$15)</f>
        <v>9672</v>
      </c>
      <c r="N15">
        <f t="shared" si="1"/>
        <v>0.39846980976013235</v>
      </c>
    </row>
    <row r="16" spans="1:14" x14ac:dyDescent="0.35">
      <c r="A16" t="s">
        <v>74</v>
      </c>
      <c r="B16">
        <v>3</v>
      </c>
      <c r="C16" t="s">
        <v>15</v>
      </c>
      <c r="D16" s="5">
        <v>44786</v>
      </c>
      <c r="E16" s="8">
        <v>0.625</v>
      </c>
      <c r="F16" t="s">
        <v>34</v>
      </c>
      <c r="G16" t="s">
        <v>41</v>
      </c>
      <c r="H16" t="s">
        <v>24</v>
      </c>
      <c r="I16" s="7">
        <v>48665</v>
      </c>
      <c r="J16" t="s">
        <v>42</v>
      </c>
      <c r="K16">
        <v>2023</v>
      </c>
      <c r="L16" s="1">
        <f t="shared" si="0"/>
        <v>3</v>
      </c>
      <c r="M16">
        <f>_xlfn.XLOOKUP(J16,Capacities!$A$2:$A$15,Capacities!$B$2:$B$15)</f>
        <v>51082</v>
      </c>
      <c r="N16">
        <f t="shared" si="1"/>
        <v>0.95268391997181001</v>
      </c>
    </row>
    <row r="17" spans="1:14" x14ac:dyDescent="0.35">
      <c r="A17" t="s">
        <v>74</v>
      </c>
      <c r="B17">
        <v>3</v>
      </c>
      <c r="C17" t="s">
        <v>15</v>
      </c>
      <c r="D17" s="5">
        <v>44786</v>
      </c>
      <c r="E17" s="8">
        <v>0.625</v>
      </c>
      <c r="F17" t="s">
        <v>39</v>
      </c>
      <c r="G17" t="s">
        <v>33</v>
      </c>
      <c r="H17" t="s">
        <v>18</v>
      </c>
      <c r="I17" s="7">
        <v>4557</v>
      </c>
      <c r="J17" t="s">
        <v>46</v>
      </c>
      <c r="K17">
        <v>2023</v>
      </c>
      <c r="L17" s="1">
        <f t="shared" si="0"/>
        <v>3</v>
      </c>
      <c r="M17">
        <f>_xlfn.XLOOKUP(J17,Capacities!$A$2:$A$15,Capacities!$B$2:$B$15)</f>
        <v>8006</v>
      </c>
      <c r="N17">
        <f t="shared" si="1"/>
        <v>0.56919810142393201</v>
      </c>
    </row>
    <row r="18" spans="1:14" x14ac:dyDescent="0.35">
      <c r="A18" t="s">
        <v>74</v>
      </c>
      <c r="B18">
        <v>3</v>
      </c>
      <c r="C18" t="s">
        <v>36</v>
      </c>
      <c r="D18" s="5">
        <v>44787</v>
      </c>
      <c r="E18" s="8">
        <v>0.5</v>
      </c>
      <c r="F18" t="s">
        <v>32</v>
      </c>
      <c r="G18" t="s">
        <v>62</v>
      </c>
      <c r="H18" t="s">
        <v>16</v>
      </c>
      <c r="I18" s="7">
        <v>9162</v>
      </c>
      <c r="J18" t="s">
        <v>35</v>
      </c>
      <c r="K18">
        <v>2023</v>
      </c>
      <c r="L18" s="1">
        <f t="shared" si="0"/>
        <v>3</v>
      </c>
      <c r="M18">
        <f>_xlfn.XLOOKUP(J18,Capacities!$A$2:$A$15,Capacities!$B$2:$B$15)</f>
        <v>18128</v>
      </c>
      <c r="N18">
        <f t="shared" si="1"/>
        <v>0.5054060017652251</v>
      </c>
    </row>
    <row r="19" spans="1:14" x14ac:dyDescent="0.35">
      <c r="A19" t="s">
        <v>74</v>
      </c>
      <c r="B19">
        <v>3</v>
      </c>
      <c r="C19" t="s">
        <v>36</v>
      </c>
      <c r="D19" s="5">
        <v>44787</v>
      </c>
      <c r="E19" s="8">
        <v>0.625</v>
      </c>
      <c r="F19" t="s">
        <v>26</v>
      </c>
      <c r="G19" t="s">
        <v>64</v>
      </c>
      <c r="H19" t="s">
        <v>75</v>
      </c>
      <c r="I19" s="7">
        <v>18856</v>
      </c>
      <c r="J19" t="s">
        <v>50</v>
      </c>
      <c r="K19">
        <v>2023</v>
      </c>
      <c r="L19" s="1">
        <f t="shared" si="0"/>
        <v>3</v>
      </c>
      <c r="M19">
        <f>_xlfn.XLOOKUP(J19,Capacities!$A$2:$A$15,Capacities!$B$2:$B$15)</f>
        <v>19852</v>
      </c>
      <c r="N19">
        <f t="shared" si="1"/>
        <v>0.94982873262139833</v>
      </c>
    </row>
    <row r="20" spans="1:14" x14ac:dyDescent="0.35">
      <c r="A20" t="s">
        <v>74</v>
      </c>
      <c r="B20">
        <v>4</v>
      </c>
      <c r="C20" t="s">
        <v>15</v>
      </c>
      <c r="D20" s="5">
        <v>44793</v>
      </c>
      <c r="E20" s="8">
        <v>0.52083333333333337</v>
      </c>
      <c r="F20" t="s">
        <v>37</v>
      </c>
      <c r="G20" t="s">
        <v>51</v>
      </c>
      <c r="H20" t="s">
        <v>34</v>
      </c>
      <c r="I20" s="7">
        <v>18150</v>
      </c>
      <c r="J20" t="s">
        <v>40</v>
      </c>
      <c r="K20">
        <v>2023</v>
      </c>
      <c r="L20" s="1">
        <f t="shared" si="0"/>
        <v>4</v>
      </c>
      <c r="M20">
        <f>_xlfn.XLOOKUP(J20,Capacities!$A$2:$A$15,Capacities!$B$2:$B$15)</f>
        <v>20250</v>
      </c>
      <c r="N20">
        <f t="shared" si="1"/>
        <v>0.89629629629629626</v>
      </c>
    </row>
    <row r="21" spans="1:14" x14ac:dyDescent="0.35">
      <c r="A21" t="s">
        <v>74</v>
      </c>
      <c r="B21">
        <v>4</v>
      </c>
      <c r="C21" t="s">
        <v>15</v>
      </c>
      <c r="D21" s="5">
        <v>44793</v>
      </c>
      <c r="E21" s="8">
        <v>0.625</v>
      </c>
      <c r="F21" t="s">
        <v>75</v>
      </c>
      <c r="G21" t="s">
        <v>54</v>
      </c>
      <c r="H21" t="s">
        <v>39</v>
      </c>
      <c r="I21" s="7">
        <v>7540</v>
      </c>
      <c r="J21" t="s">
        <v>76</v>
      </c>
      <c r="K21">
        <v>2023</v>
      </c>
      <c r="L21" s="1">
        <f t="shared" si="0"/>
        <v>4</v>
      </c>
      <c r="M21">
        <f>_xlfn.XLOOKUP(J21,Capacities!$A$2:$A$15,Capacities!$B$2:$B$15)</f>
        <v>14223</v>
      </c>
      <c r="N21">
        <f t="shared" si="1"/>
        <v>0.53012725866554178</v>
      </c>
    </row>
    <row r="22" spans="1:14" x14ac:dyDescent="0.35">
      <c r="A22" t="s">
        <v>74</v>
      </c>
      <c r="B22">
        <v>4</v>
      </c>
      <c r="C22" t="s">
        <v>15</v>
      </c>
      <c r="D22" s="5">
        <v>44793</v>
      </c>
      <c r="E22" s="8">
        <v>0.625</v>
      </c>
      <c r="F22" t="s">
        <v>22</v>
      </c>
      <c r="G22" t="s">
        <v>33</v>
      </c>
      <c r="H22" t="s">
        <v>28</v>
      </c>
      <c r="I22" s="7">
        <v>5158</v>
      </c>
      <c r="J22" t="s">
        <v>49</v>
      </c>
      <c r="K22">
        <v>2023</v>
      </c>
      <c r="L22" s="1">
        <f t="shared" si="0"/>
        <v>4</v>
      </c>
      <c r="M22">
        <f>_xlfn.XLOOKUP(J22,Capacities!$A$2:$A$15,Capacities!$B$2:$B$15)</f>
        <v>13750</v>
      </c>
      <c r="N22">
        <f t="shared" si="1"/>
        <v>0.37512727272727275</v>
      </c>
    </row>
    <row r="23" spans="1:14" x14ac:dyDescent="0.35">
      <c r="A23" t="s">
        <v>74</v>
      </c>
      <c r="B23">
        <v>4</v>
      </c>
      <c r="C23" t="s">
        <v>15</v>
      </c>
      <c r="D23" s="5">
        <v>44793</v>
      </c>
      <c r="E23" s="8">
        <v>0.625</v>
      </c>
      <c r="F23" t="s">
        <v>18</v>
      </c>
      <c r="G23" t="s">
        <v>33</v>
      </c>
      <c r="H23" t="s">
        <v>32</v>
      </c>
      <c r="I23" s="7">
        <v>3133</v>
      </c>
      <c r="J23" t="s">
        <v>44</v>
      </c>
      <c r="K23">
        <v>2023</v>
      </c>
      <c r="L23" s="1">
        <f t="shared" si="0"/>
        <v>4</v>
      </c>
      <c r="M23">
        <f>_xlfn.XLOOKUP(J23,Capacities!$A$2:$A$15,Capacities!$B$2:$B$15)</f>
        <v>6541</v>
      </c>
      <c r="N23">
        <f t="shared" si="1"/>
        <v>0.47897874942669316</v>
      </c>
    </row>
    <row r="24" spans="1:14" x14ac:dyDescent="0.35">
      <c r="A24" t="s">
        <v>74</v>
      </c>
      <c r="B24">
        <v>4</v>
      </c>
      <c r="C24" t="s">
        <v>15</v>
      </c>
      <c r="D24" s="5">
        <v>44793</v>
      </c>
      <c r="E24" s="8">
        <v>0.625</v>
      </c>
      <c r="F24" t="s">
        <v>24</v>
      </c>
      <c r="G24" t="s">
        <v>52</v>
      </c>
      <c r="H24" t="s">
        <v>30</v>
      </c>
      <c r="I24" s="7">
        <v>5871</v>
      </c>
      <c r="J24" t="s">
        <v>27</v>
      </c>
      <c r="K24">
        <v>2023</v>
      </c>
      <c r="L24" s="1">
        <f t="shared" si="0"/>
        <v>4</v>
      </c>
      <c r="M24">
        <f>_xlfn.XLOOKUP(J24,Capacities!$A$2:$A$15,Capacities!$B$2:$B$15)</f>
        <v>10700</v>
      </c>
      <c r="N24">
        <f t="shared" si="1"/>
        <v>0.54869158878504676</v>
      </c>
    </row>
    <row r="25" spans="1:14" x14ac:dyDescent="0.35">
      <c r="A25" t="s">
        <v>74</v>
      </c>
      <c r="B25">
        <v>4</v>
      </c>
      <c r="C25" t="s">
        <v>36</v>
      </c>
      <c r="D25" s="5">
        <v>44794</v>
      </c>
      <c r="E25" s="8">
        <v>0.625</v>
      </c>
      <c r="F25" t="s">
        <v>16</v>
      </c>
      <c r="G25" t="s">
        <v>43</v>
      </c>
      <c r="H25" t="s">
        <v>26</v>
      </c>
      <c r="I25" s="7">
        <v>58776</v>
      </c>
      <c r="J25" t="s">
        <v>19</v>
      </c>
      <c r="K25">
        <v>2023</v>
      </c>
      <c r="L25" s="1">
        <f t="shared" si="0"/>
        <v>4</v>
      </c>
      <c r="M25">
        <f>_xlfn.XLOOKUP(J25,Capacities!$A$2:$A$15,Capacities!$B$2:$B$15)</f>
        <v>60500</v>
      </c>
      <c r="N25">
        <f t="shared" si="1"/>
        <v>0.97150413223140497</v>
      </c>
    </row>
    <row r="26" spans="1:14" x14ac:dyDescent="0.35">
      <c r="A26" t="s">
        <v>74</v>
      </c>
      <c r="B26">
        <v>5</v>
      </c>
      <c r="C26" t="s">
        <v>15</v>
      </c>
      <c r="D26" s="5">
        <v>44800</v>
      </c>
      <c r="E26" s="8">
        <v>0.625</v>
      </c>
      <c r="F26" t="s">
        <v>30</v>
      </c>
      <c r="G26" t="s">
        <v>66</v>
      </c>
      <c r="H26" t="s">
        <v>28</v>
      </c>
      <c r="I26" s="7">
        <v>13739</v>
      </c>
      <c r="J26" t="s">
        <v>48</v>
      </c>
      <c r="K26">
        <v>2023</v>
      </c>
      <c r="L26" s="1">
        <f t="shared" si="0"/>
        <v>5</v>
      </c>
      <c r="M26">
        <f>_xlfn.XLOOKUP(J26,Capacities!$A$2:$A$15,Capacities!$B$2:$B$15)</f>
        <v>21412</v>
      </c>
      <c r="N26">
        <f t="shared" si="1"/>
        <v>0.64164954231272187</v>
      </c>
    </row>
    <row r="27" spans="1:14" x14ac:dyDescent="0.35">
      <c r="A27" t="s">
        <v>74</v>
      </c>
      <c r="B27">
        <v>5</v>
      </c>
      <c r="C27" t="s">
        <v>15</v>
      </c>
      <c r="D27" s="5">
        <v>44800</v>
      </c>
      <c r="E27" s="8">
        <v>0.625</v>
      </c>
      <c r="F27" t="s">
        <v>32</v>
      </c>
      <c r="G27" t="s">
        <v>45</v>
      </c>
      <c r="H27" t="s">
        <v>22</v>
      </c>
      <c r="I27" s="7">
        <v>6238</v>
      </c>
      <c r="J27" t="s">
        <v>35</v>
      </c>
      <c r="K27">
        <v>2023</v>
      </c>
      <c r="L27" s="1">
        <f t="shared" si="0"/>
        <v>5</v>
      </c>
      <c r="M27">
        <f>_xlfn.XLOOKUP(J27,Capacities!$A$2:$A$15,Capacities!$B$2:$B$15)</f>
        <v>18128</v>
      </c>
      <c r="N27">
        <f t="shared" si="1"/>
        <v>0.34410856134157103</v>
      </c>
    </row>
    <row r="28" spans="1:14" x14ac:dyDescent="0.35">
      <c r="A28" t="s">
        <v>74</v>
      </c>
      <c r="B28">
        <v>5</v>
      </c>
      <c r="C28" t="s">
        <v>15</v>
      </c>
      <c r="D28" s="5">
        <v>44800</v>
      </c>
      <c r="E28" s="8">
        <v>0.625</v>
      </c>
      <c r="F28" t="s">
        <v>34</v>
      </c>
      <c r="G28" t="s">
        <v>41</v>
      </c>
      <c r="H28" t="s">
        <v>18</v>
      </c>
      <c r="I28" s="7">
        <v>48899</v>
      </c>
      <c r="J28" t="s">
        <v>42</v>
      </c>
      <c r="K28">
        <v>2023</v>
      </c>
      <c r="L28" s="1">
        <f t="shared" si="0"/>
        <v>5</v>
      </c>
      <c r="M28">
        <f>_xlfn.XLOOKUP(J28,Capacities!$A$2:$A$15,Capacities!$B$2:$B$15)</f>
        <v>51082</v>
      </c>
      <c r="N28">
        <f t="shared" si="1"/>
        <v>0.95726478994557773</v>
      </c>
    </row>
    <row r="29" spans="1:14" x14ac:dyDescent="0.35">
      <c r="A29" t="s">
        <v>74</v>
      </c>
      <c r="B29">
        <v>5</v>
      </c>
      <c r="C29" t="s">
        <v>15</v>
      </c>
      <c r="D29" s="5">
        <v>44800</v>
      </c>
      <c r="E29" s="8">
        <v>0.625</v>
      </c>
      <c r="F29" t="s">
        <v>39</v>
      </c>
      <c r="G29" t="s">
        <v>33</v>
      </c>
      <c r="H29" t="s">
        <v>37</v>
      </c>
      <c r="I29" s="7">
        <v>5343</v>
      </c>
      <c r="J29" t="s">
        <v>46</v>
      </c>
      <c r="K29">
        <v>2023</v>
      </c>
      <c r="L29" s="1">
        <f t="shared" si="0"/>
        <v>5</v>
      </c>
      <c r="M29">
        <f>_xlfn.XLOOKUP(J29,Capacities!$A$2:$A$15,Capacities!$B$2:$B$15)</f>
        <v>8006</v>
      </c>
      <c r="N29">
        <f t="shared" si="1"/>
        <v>0.66737446914813892</v>
      </c>
    </row>
    <row r="30" spans="1:14" x14ac:dyDescent="0.35">
      <c r="A30" t="s">
        <v>74</v>
      </c>
      <c r="B30">
        <v>5</v>
      </c>
      <c r="C30" t="s">
        <v>36</v>
      </c>
      <c r="D30" s="5">
        <v>44801</v>
      </c>
      <c r="E30" s="8">
        <v>0.5</v>
      </c>
      <c r="F30" t="s">
        <v>75</v>
      </c>
      <c r="G30" t="s">
        <v>77</v>
      </c>
      <c r="H30" t="s">
        <v>16</v>
      </c>
      <c r="I30" s="7">
        <v>11087</v>
      </c>
      <c r="J30" t="s">
        <v>76</v>
      </c>
      <c r="K30">
        <v>2023</v>
      </c>
      <c r="L30" s="1">
        <f t="shared" si="0"/>
        <v>5</v>
      </c>
      <c r="M30">
        <f>_xlfn.XLOOKUP(J30,Capacities!$A$2:$A$15,Capacities!$B$2:$B$15)</f>
        <v>14223</v>
      </c>
      <c r="N30">
        <f t="shared" si="1"/>
        <v>0.77951205793433176</v>
      </c>
    </row>
    <row r="31" spans="1:14" x14ac:dyDescent="0.35">
      <c r="A31" t="s">
        <v>74</v>
      </c>
      <c r="B31">
        <v>5</v>
      </c>
      <c r="C31" t="s">
        <v>36</v>
      </c>
      <c r="D31" s="5">
        <v>44801</v>
      </c>
      <c r="E31" s="8">
        <v>0.625</v>
      </c>
      <c r="F31" t="s">
        <v>26</v>
      </c>
      <c r="G31" t="s">
        <v>65</v>
      </c>
      <c r="H31" t="s">
        <v>24</v>
      </c>
      <c r="I31" s="7">
        <v>18353</v>
      </c>
      <c r="J31" t="s">
        <v>50</v>
      </c>
      <c r="K31">
        <v>2023</v>
      </c>
      <c r="L31" s="1">
        <f t="shared" si="0"/>
        <v>5</v>
      </c>
      <c r="M31">
        <f>_xlfn.XLOOKUP(J31,Capacities!$A$2:$A$15,Capacities!$B$2:$B$15)</f>
        <v>19852</v>
      </c>
      <c r="N31">
        <f t="shared" si="1"/>
        <v>0.92449123514003628</v>
      </c>
    </row>
    <row r="32" spans="1:14" x14ac:dyDescent="0.35">
      <c r="A32" t="s">
        <v>74</v>
      </c>
      <c r="B32">
        <v>6</v>
      </c>
      <c r="C32" t="s">
        <v>15</v>
      </c>
      <c r="D32" s="5">
        <v>44807</v>
      </c>
      <c r="E32" s="8">
        <v>0.52083333333333337</v>
      </c>
      <c r="F32" t="s">
        <v>16</v>
      </c>
      <c r="G32" t="s">
        <v>41</v>
      </c>
      <c r="H32" t="s">
        <v>34</v>
      </c>
      <c r="I32" s="7">
        <v>58636</v>
      </c>
      <c r="J32" t="s">
        <v>19</v>
      </c>
      <c r="K32">
        <v>2023</v>
      </c>
      <c r="L32" s="1">
        <f t="shared" si="0"/>
        <v>6</v>
      </c>
      <c r="M32">
        <f>_xlfn.XLOOKUP(J32,Capacities!$A$2:$A$15,Capacities!$B$2:$B$15)</f>
        <v>60500</v>
      </c>
      <c r="N32">
        <f t="shared" si="1"/>
        <v>0.96919008264462814</v>
      </c>
    </row>
    <row r="33" spans="1:14" x14ac:dyDescent="0.35">
      <c r="A33" t="s">
        <v>74</v>
      </c>
      <c r="B33">
        <v>6</v>
      </c>
      <c r="C33" t="s">
        <v>15</v>
      </c>
      <c r="D33" s="5">
        <v>44807</v>
      </c>
      <c r="E33" s="8">
        <v>0.625</v>
      </c>
      <c r="F33" t="s">
        <v>37</v>
      </c>
      <c r="G33" t="s">
        <v>33</v>
      </c>
      <c r="H33" t="s">
        <v>32</v>
      </c>
      <c r="I33" s="7">
        <v>15426</v>
      </c>
      <c r="J33" t="s">
        <v>40</v>
      </c>
      <c r="K33">
        <v>2023</v>
      </c>
      <c r="L33" s="1">
        <f t="shared" si="0"/>
        <v>6</v>
      </c>
      <c r="M33">
        <f>_xlfn.XLOOKUP(J33,Capacities!$A$2:$A$15,Capacities!$B$2:$B$15)</f>
        <v>20250</v>
      </c>
      <c r="N33">
        <f t="shared" si="1"/>
        <v>0.76177777777777778</v>
      </c>
    </row>
    <row r="34" spans="1:14" x14ac:dyDescent="0.35">
      <c r="A34" t="s">
        <v>74</v>
      </c>
      <c r="B34">
        <v>6</v>
      </c>
      <c r="C34" t="s">
        <v>15</v>
      </c>
      <c r="D34" s="5">
        <v>44807</v>
      </c>
      <c r="E34" s="8">
        <v>0.625</v>
      </c>
      <c r="F34" t="s">
        <v>28</v>
      </c>
      <c r="G34" t="s">
        <v>33</v>
      </c>
      <c r="H34" t="s">
        <v>26</v>
      </c>
      <c r="I34" s="7">
        <v>4678</v>
      </c>
      <c r="J34" t="s">
        <v>31</v>
      </c>
      <c r="K34">
        <v>2023</v>
      </c>
      <c r="L34" s="1">
        <f t="shared" ref="L34:L65" si="2">B34</f>
        <v>6</v>
      </c>
      <c r="M34">
        <f>_xlfn.XLOOKUP(J34,Capacities!$A$2:$A$15,Capacities!$B$2:$B$15)</f>
        <v>9672</v>
      </c>
      <c r="N34">
        <f t="shared" si="1"/>
        <v>0.48366418527708849</v>
      </c>
    </row>
    <row r="35" spans="1:14" x14ac:dyDescent="0.35">
      <c r="A35" t="s">
        <v>74</v>
      </c>
      <c r="B35">
        <v>6</v>
      </c>
      <c r="C35" t="s">
        <v>15</v>
      </c>
      <c r="D35" s="5">
        <v>44807</v>
      </c>
      <c r="E35" s="8">
        <v>0.625</v>
      </c>
      <c r="F35" t="s">
        <v>22</v>
      </c>
      <c r="G35" t="s">
        <v>29</v>
      </c>
      <c r="H35" t="s">
        <v>75</v>
      </c>
      <c r="I35" s="7">
        <v>5783</v>
      </c>
      <c r="J35" t="s">
        <v>49</v>
      </c>
      <c r="K35">
        <v>2023</v>
      </c>
      <c r="L35" s="1">
        <f t="shared" si="2"/>
        <v>6</v>
      </c>
      <c r="M35">
        <f>_xlfn.XLOOKUP(J35,Capacities!$A$2:$A$15,Capacities!$B$2:$B$15)</f>
        <v>13750</v>
      </c>
      <c r="N35">
        <f t="shared" si="1"/>
        <v>0.42058181818181817</v>
      </c>
    </row>
    <row r="36" spans="1:14" x14ac:dyDescent="0.35">
      <c r="A36" t="s">
        <v>74</v>
      </c>
      <c r="B36">
        <v>6</v>
      </c>
      <c r="C36" t="s">
        <v>15</v>
      </c>
      <c r="D36" s="5">
        <v>44807</v>
      </c>
      <c r="E36" s="8">
        <v>0.625</v>
      </c>
      <c r="F36" t="s">
        <v>18</v>
      </c>
      <c r="G36" t="s">
        <v>21</v>
      </c>
      <c r="H36" t="s">
        <v>30</v>
      </c>
      <c r="I36" s="7">
        <v>5210</v>
      </c>
      <c r="J36" t="s">
        <v>44</v>
      </c>
      <c r="K36">
        <v>2023</v>
      </c>
      <c r="L36" s="1">
        <f t="shared" si="2"/>
        <v>6</v>
      </c>
      <c r="M36">
        <f>_xlfn.XLOOKUP(J36,Capacities!$A$2:$A$15,Capacities!$B$2:$B$15)</f>
        <v>6541</v>
      </c>
      <c r="N36">
        <f t="shared" si="1"/>
        <v>0.7965142944503899</v>
      </c>
    </row>
    <row r="37" spans="1:14" x14ac:dyDescent="0.35">
      <c r="A37" t="s">
        <v>74</v>
      </c>
      <c r="B37">
        <v>6</v>
      </c>
      <c r="C37" t="s">
        <v>15</v>
      </c>
      <c r="D37" s="5">
        <v>44807</v>
      </c>
      <c r="E37" s="8">
        <v>0.625</v>
      </c>
      <c r="F37" t="s">
        <v>24</v>
      </c>
      <c r="G37" t="s">
        <v>53</v>
      </c>
      <c r="H37" t="s">
        <v>39</v>
      </c>
      <c r="I37" s="7">
        <v>3640</v>
      </c>
      <c r="J37" t="s">
        <v>27</v>
      </c>
      <c r="K37">
        <v>2023</v>
      </c>
      <c r="L37" s="1">
        <f t="shared" si="2"/>
        <v>6</v>
      </c>
      <c r="M37">
        <f>_xlfn.XLOOKUP(J37,Capacities!$A$2:$A$15,Capacities!$B$2:$B$15)</f>
        <v>10700</v>
      </c>
      <c r="N37">
        <f t="shared" si="1"/>
        <v>0.34018691588785049</v>
      </c>
    </row>
    <row r="38" spans="1:14" x14ac:dyDescent="0.35">
      <c r="A38" t="s">
        <v>74</v>
      </c>
      <c r="B38">
        <v>8</v>
      </c>
      <c r="C38" t="s">
        <v>15</v>
      </c>
      <c r="D38" s="5">
        <v>44821</v>
      </c>
      <c r="E38" s="8">
        <v>0.625</v>
      </c>
      <c r="F38" t="s">
        <v>37</v>
      </c>
      <c r="G38" t="s">
        <v>56</v>
      </c>
      <c r="H38" t="s">
        <v>30</v>
      </c>
      <c r="I38" s="7">
        <v>17292</v>
      </c>
      <c r="J38" t="s">
        <v>40</v>
      </c>
      <c r="K38">
        <v>2023</v>
      </c>
      <c r="L38" s="1">
        <f t="shared" si="2"/>
        <v>8</v>
      </c>
      <c r="M38">
        <f>_xlfn.XLOOKUP(J38,Capacities!$A$2:$A$15,Capacities!$B$2:$B$15)</f>
        <v>20250</v>
      </c>
      <c r="N38">
        <f t="shared" si="1"/>
        <v>0.85392592592592598</v>
      </c>
    </row>
    <row r="39" spans="1:14" x14ac:dyDescent="0.35">
      <c r="A39" t="s">
        <v>74</v>
      </c>
      <c r="B39">
        <v>8</v>
      </c>
      <c r="C39" t="s">
        <v>15</v>
      </c>
      <c r="D39" s="5">
        <v>44821</v>
      </c>
      <c r="E39" s="8">
        <v>0.625</v>
      </c>
      <c r="F39" t="s">
        <v>28</v>
      </c>
      <c r="G39" t="s">
        <v>33</v>
      </c>
      <c r="H39" t="s">
        <v>32</v>
      </c>
      <c r="I39" s="7">
        <v>2253</v>
      </c>
      <c r="J39" t="s">
        <v>31</v>
      </c>
      <c r="K39">
        <v>2023</v>
      </c>
      <c r="L39" s="1">
        <f t="shared" si="2"/>
        <v>8</v>
      </c>
      <c r="M39">
        <f>_xlfn.XLOOKUP(J39,Capacities!$A$2:$A$15,Capacities!$B$2:$B$15)</f>
        <v>9672</v>
      </c>
      <c r="N39">
        <f t="shared" si="1"/>
        <v>0.23294044665012406</v>
      </c>
    </row>
    <row r="40" spans="1:14" x14ac:dyDescent="0.35">
      <c r="A40" t="s">
        <v>74</v>
      </c>
      <c r="B40">
        <v>8</v>
      </c>
      <c r="C40" t="s">
        <v>15</v>
      </c>
      <c r="D40" s="5">
        <v>44821</v>
      </c>
      <c r="E40" s="8">
        <v>0.625</v>
      </c>
      <c r="F40" t="s">
        <v>34</v>
      </c>
      <c r="G40" t="s">
        <v>45</v>
      </c>
      <c r="H40" t="s">
        <v>75</v>
      </c>
      <c r="I40" s="7">
        <v>49334</v>
      </c>
      <c r="J40" t="s">
        <v>42</v>
      </c>
      <c r="K40">
        <v>2023</v>
      </c>
      <c r="L40" s="1">
        <f t="shared" si="2"/>
        <v>8</v>
      </c>
      <c r="M40">
        <f>_xlfn.XLOOKUP(J40,Capacities!$A$2:$A$15,Capacities!$B$2:$B$15)</f>
        <v>51082</v>
      </c>
      <c r="N40">
        <f t="shared" si="1"/>
        <v>0.9657805097686073</v>
      </c>
    </row>
    <row r="41" spans="1:14" x14ac:dyDescent="0.35">
      <c r="A41" t="s">
        <v>74</v>
      </c>
      <c r="B41">
        <v>8</v>
      </c>
      <c r="C41" t="s">
        <v>15</v>
      </c>
      <c r="D41" s="5">
        <v>44821</v>
      </c>
      <c r="E41" s="8">
        <v>0.625</v>
      </c>
      <c r="F41" t="s">
        <v>24</v>
      </c>
      <c r="G41" t="s">
        <v>29</v>
      </c>
      <c r="H41" t="s">
        <v>18</v>
      </c>
      <c r="I41" s="7">
        <v>3355</v>
      </c>
      <c r="J41" t="s">
        <v>27</v>
      </c>
      <c r="K41">
        <v>2023</v>
      </c>
      <c r="L41" s="1">
        <f t="shared" si="2"/>
        <v>8</v>
      </c>
      <c r="M41">
        <f>_xlfn.XLOOKUP(J41,Capacities!$A$2:$A$15,Capacities!$B$2:$B$15)</f>
        <v>10700</v>
      </c>
      <c r="N41">
        <f t="shared" si="1"/>
        <v>0.31355140186915886</v>
      </c>
    </row>
    <row r="42" spans="1:14" x14ac:dyDescent="0.35">
      <c r="A42" t="s">
        <v>74</v>
      </c>
      <c r="B42">
        <v>8</v>
      </c>
      <c r="C42" t="s">
        <v>36</v>
      </c>
      <c r="D42" s="5">
        <v>44822</v>
      </c>
      <c r="E42" s="8">
        <v>0.5</v>
      </c>
      <c r="F42" t="s">
        <v>39</v>
      </c>
      <c r="G42" t="s">
        <v>43</v>
      </c>
      <c r="H42" t="s">
        <v>16</v>
      </c>
      <c r="I42" s="7">
        <v>6331</v>
      </c>
      <c r="J42" t="s">
        <v>46</v>
      </c>
      <c r="K42">
        <v>2023</v>
      </c>
      <c r="L42" s="1">
        <f t="shared" si="2"/>
        <v>8</v>
      </c>
      <c r="M42">
        <f>_xlfn.XLOOKUP(J42,Capacities!$A$2:$A$15,Capacities!$B$2:$B$15)</f>
        <v>8006</v>
      </c>
      <c r="N42">
        <f t="shared" si="1"/>
        <v>0.79078191356482641</v>
      </c>
    </row>
    <row r="43" spans="1:14" x14ac:dyDescent="0.35">
      <c r="A43" t="s">
        <v>74</v>
      </c>
      <c r="B43">
        <v>8</v>
      </c>
      <c r="C43" t="s">
        <v>36</v>
      </c>
      <c r="D43" s="5">
        <v>44822</v>
      </c>
      <c r="E43" s="8">
        <v>0.625</v>
      </c>
      <c r="F43" t="s">
        <v>22</v>
      </c>
      <c r="G43" t="s">
        <v>54</v>
      </c>
      <c r="H43" t="s">
        <v>26</v>
      </c>
      <c r="I43" s="7">
        <v>6546</v>
      </c>
      <c r="J43" t="s">
        <v>49</v>
      </c>
      <c r="K43">
        <v>2023</v>
      </c>
      <c r="L43" s="1">
        <f t="shared" si="2"/>
        <v>8</v>
      </c>
      <c r="M43">
        <f>_xlfn.XLOOKUP(J43,Capacities!$A$2:$A$15,Capacities!$B$2:$B$15)</f>
        <v>13750</v>
      </c>
      <c r="N43">
        <f t="shared" si="1"/>
        <v>0.47607272727272726</v>
      </c>
    </row>
    <row r="44" spans="1:14" x14ac:dyDescent="0.35">
      <c r="A44" t="s">
        <v>74</v>
      </c>
      <c r="B44">
        <v>9</v>
      </c>
      <c r="C44" t="s">
        <v>15</v>
      </c>
      <c r="D44" s="5">
        <v>44835</v>
      </c>
      <c r="E44" s="8">
        <v>0.52083333333333337</v>
      </c>
      <c r="F44" t="s">
        <v>26</v>
      </c>
      <c r="G44" t="s">
        <v>72</v>
      </c>
      <c r="H44" t="s">
        <v>34</v>
      </c>
      <c r="I44" s="7">
        <v>18433</v>
      </c>
      <c r="J44" t="s">
        <v>50</v>
      </c>
      <c r="K44">
        <v>2023</v>
      </c>
      <c r="L44" s="1">
        <f t="shared" si="2"/>
        <v>9</v>
      </c>
      <c r="M44">
        <f>_xlfn.XLOOKUP(J44,Capacities!$A$2:$A$15,Capacities!$B$2:$B$15)</f>
        <v>19852</v>
      </c>
      <c r="N44">
        <f t="shared" si="1"/>
        <v>0.92852105581301636</v>
      </c>
    </row>
    <row r="45" spans="1:14" x14ac:dyDescent="0.35">
      <c r="A45" t="s">
        <v>74</v>
      </c>
      <c r="B45">
        <v>9</v>
      </c>
      <c r="C45" t="s">
        <v>15</v>
      </c>
      <c r="D45" s="5">
        <v>44835</v>
      </c>
      <c r="E45" s="8">
        <v>0.625</v>
      </c>
      <c r="F45" t="s">
        <v>30</v>
      </c>
      <c r="G45" t="s">
        <v>64</v>
      </c>
      <c r="H45" t="s">
        <v>32</v>
      </c>
      <c r="I45" s="7">
        <v>16348</v>
      </c>
      <c r="J45" t="s">
        <v>48</v>
      </c>
      <c r="K45">
        <v>2023</v>
      </c>
      <c r="L45" s="1">
        <f t="shared" si="2"/>
        <v>9</v>
      </c>
      <c r="M45">
        <f>_xlfn.XLOOKUP(J45,Capacities!$A$2:$A$15,Capacities!$B$2:$B$15)</f>
        <v>21412</v>
      </c>
      <c r="N45">
        <f t="shared" si="1"/>
        <v>0.76349710442742391</v>
      </c>
    </row>
    <row r="46" spans="1:14" x14ac:dyDescent="0.35">
      <c r="A46" t="s">
        <v>74</v>
      </c>
      <c r="B46">
        <v>9</v>
      </c>
      <c r="C46" t="s">
        <v>15</v>
      </c>
      <c r="D46" s="5">
        <v>44835</v>
      </c>
      <c r="E46" s="8">
        <v>0.625</v>
      </c>
      <c r="F46" t="s">
        <v>16</v>
      </c>
      <c r="G46" t="s">
        <v>45</v>
      </c>
      <c r="H46" t="s">
        <v>22</v>
      </c>
      <c r="I46" s="7">
        <v>58407</v>
      </c>
      <c r="J46" t="s">
        <v>19</v>
      </c>
      <c r="K46">
        <v>2023</v>
      </c>
      <c r="L46" s="1">
        <f t="shared" si="2"/>
        <v>9</v>
      </c>
      <c r="M46">
        <f>_xlfn.XLOOKUP(J46,Capacities!$A$2:$A$15,Capacities!$B$2:$B$15)</f>
        <v>60500</v>
      </c>
      <c r="N46">
        <f t="shared" si="1"/>
        <v>0.96540495867768594</v>
      </c>
    </row>
    <row r="47" spans="1:14" x14ac:dyDescent="0.35">
      <c r="A47" t="s">
        <v>74</v>
      </c>
      <c r="B47">
        <v>9</v>
      </c>
      <c r="C47" t="s">
        <v>15</v>
      </c>
      <c r="D47" s="5">
        <v>44835</v>
      </c>
      <c r="E47" s="8">
        <v>0.625</v>
      </c>
      <c r="F47" t="s">
        <v>75</v>
      </c>
      <c r="G47" t="s">
        <v>55</v>
      </c>
      <c r="H47" t="s">
        <v>24</v>
      </c>
      <c r="I47" s="7">
        <v>7977</v>
      </c>
      <c r="J47" t="s">
        <v>76</v>
      </c>
      <c r="K47">
        <v>2023</v>
      </c>
      <c r="L47" s="1">
        <f t="shared" si="2"/>
        <v>9</v>
      </c>
      <c r="M47">
        <f>_xlfn.XLOOKUP(J47,Capacities!$A$2:$A$15,Capacities!$B$2:$B$15)</f>
        <v>14223</v>
      </c>
      <c r="N47">
        <f t="shared" si="1"/>
        <v>0.56085214089854463</v>
      </c>
    </row>
    <row r="48" spans="1:14" x14ac:dyDescent="0.35">
      <c r="A48" t="s">
        <v>74</v>
      </c>
      <c r="B48">
        <v>9</v>
      </c>
      <c r="C48" t="s">
        <v>15</v>
      </c>
      <c r="D48" s="5">
        <v>44835</v>
      </c>
      <c r="E48" s="8">
        <v>0.625</v>
      </c>
      <c r="F48" t="s">
        <v>18</v>
      </c>
      <c r="G48" t="s">
        <v>25</v>
      </c>
      <c r="H48" t="s">
        <v>37</v>
      </c>
      <c r="I48" s="7">
        <v>4243</v>
      </c>
      <c r="J48" t="s">
        <v>44</v>
      </c>
      <c r="K48">
        <v>2023</v>
      </c>
      <c r="L48" s="1">
        <f t="shared" si="2"/>
        <v>9</v>
      </c>
      <c r="M48">
        <f>_xlfn.XLOOKUP(J48,Capacities!$A$2:$A$15,Capacities!$B$2:$B$15)</f>
        <v>6541</v>
      </c>
      <c r="N48">
        <f t="shared" si="1"/>
        <v>0.64867757223666112</v>
      </c>
    </row>
    <row r="49" spans="1:14" x14ac:dyDescent="0.35">
      <c r="A49" t="s">
        <v>74</v>
      </c>
      <c r="B49">
        <v>9</v>
      </c>
      <c r="C49" t="s">
        <v>15</v>
      </c>
      <c r="D49" s="5">
        <v>44835</v>
      </c>
      <c r="E49" s="8">
        <v>0.625</v>
      </c>
      <c r="F49" t="s">
        <v>39</v>
      </c>
      <c r="G49" t="s">
        <v>45</v>
      </c>
      <c r="H49" t="s">
        <v>28</v>
      </c>
      <c r="I49" s="7">
        <v>5366</v>
      </c>
      <c r="J49" t="s">
        <v>46</v>
      </c>
      <c r="K49">
        <v>2023</v>
      </c>
      <c r="L49" s="1">
        <f t="shared" si="2"/>
        <v>9</v>
      </c>
      <c r="M49">
        <f>_xlfn.XLOOKUP(J49,Capacities!$A$2:$A$15,Capacities!$B$2:$B$15)</f>
        <v>8006</v>
      </c>
      <c r="N49">
        <f t="shared" si="1"/>
        <v>0.67024731451411446</v>
      </c>
    </row>
    <row r="50" spans="1:14" x14ac:dyDescent="0.35">
      <c r="A50" t="s">
        <v>74</v>
      </c>
      <c r="B50">
        <v>7</v>
      </c>
      <c r="C50" t="s">
        <v>58</v>
      </c>
      <c r="D50" s="5">
        <v>44838</v>
      </c>
      <c r="E50" s="8">
        <v>0.82291666666666663</v>
      </c>
      <c r="F50" t="s">
        <v>18</v>
      </c>
      <c r="G50" t="s">
        <v>62</v>
      </c>
      <c r="H50" t="s">
        <v>22</v>
      </c>
      <c r="I50" s="7">
        <v>2568</v>
      </c>
      <c r="J50" t="s">
        <v>44</v>
      </c>
      <c r="K50">
        <v>2023</v>
      </c>
      <c r="L50" s="1">
        <f t="shared" si="2"/>
        <v>7</v>
      </c>
      <c r="M50">
        <f>_xlfn.XLOOKUP(J50,Capacities!$A$2:$A$15,Capacities!$B$2:$B$15)</f>
        <v>6541</v>
      </c>
      <c r="N50">
        <f t="shared" si="1"/>
        <v>0.39260051979819599</v>
      </c>
    </row>
    <row r="51" spans="1:14" x14ac:dyDescent="0.35">
      <c r="A51" t="s">
        <v>74</v>
      </c>
      <c r="B51">
        <v>7</v>
      </c>
      <c r="C51" t="s">
        <v>60</v>
      </c>
      <c r="D51" s="5">
        <v>44839</v>
      </c>
      <c r="E51" s="8">
        <v>0.82291666666666663</v>
      </c>
      <c r="F51" t="s">
        <v>32</v>
      </c>
      <c r="G51" t="s">
        <v>45</v>
      </c>
      <c r="H51" t="s">
        <v>24</v>
      </c>
      <c r="I51" s="7">
        <v>4463</v>
      </c>
      <c r="J51" t="s">
        <v>35</v>
      </c>
      <c r="K51">
        <v>2023</v>
      </c>
      <c r="L51" s="1">
        <f t="shared" si="2"/>
        <v>7</v>
      </c>
      <c r="M51">
        <f>_xlfn.XLOOKUP(J51,Capacities!$A$2:$A$15,Capacities!$B$2:$B$15)</f>
        <v>18128</v>
      </c>
      <c r="N51">
        <f t="shared" si="1"/>
        <v>0.246193733451015</v>
      </c>
    </row>
    <row r="52" spans="1:14" x14ac:dyDescent="0.35">
      <c r="A52" t="s">
        <v>74</v>
      </c>
      <c r="B52">
        <v>10</v>
      </c>
      <c r="C52" t="s">
        <v>15</v>
      </c>
      <c r="D52" s="5">
        <v>44842</v>
      </c>
      <c r="E52" s="8">
        <v>0.52083333333333337</v>
      </c>
      <c r="F52" t="s">
        <v>24</v>
      </c>
      <c r="G52" t="s">
        <v>55</v>
      </c>
      <c r="H52" t="s">
        <v>16</v>
      </c>
      <c r="I52" s="7">
        <v>7093</v>
      </c>
      <c r="J52" t="s">
        <v>27</v>
      </c>
      <c r="K52">
        <v>2023</v>
      </c>
      <c r="L52" s="1">
        <f t="shared" si="2"/>
        <v>10</v>
      </c>
      <c r="M52">
        <f>_xlfn.XLOOKUP(J52,Capacities!$A$2:$A$15,Capacities!$B$2:$B$15)</f>
        <v>10700</v>
      </c>
      <c r="N52">
        <f t="shared" si="1"/>
        <v>0.6628971962616822</v>
      </c>
    </row>
    <row r="53" spans="1:14" x14ac:dyDescent="0.35">
      <c r="A53" t="s">
        <v>74</v>
      </c>
      <c r="B53">
        <v>10</v>
      </c>
      <c r="C53" t="s">
        <v>15</v>
      </c>
      <c r="D53" s="5">
        <v>44842</v>
      </c>
      <c r="E53" s="8">
        <v>0.625</v>
      </c>
      <c r="F53" t="s">
        <v>37</v>
      </c>
      <c r="G53" t="s">
        <v>33</v>
      </c>
      <c r="H53" t="s">
        <v>22</v>
      </c>
      <c r="I53" s="7">
        <v>16435</v>
      </c>
      <c r="J53" t="s">
        <v>40</v>
      </c>
      <c r="K53">
        <v>2023</v>
      </c>
      <c r="L53" s="1">
        <f t="shared" si="2"/>
        <v>10</v>
      </c>
      <c r="M53">
        <f>_xlfn.XLOOKUP(J53,Capacities!$A$2:$A$15,Capacities!$B$2:$B$15)</f>
        <v>20250</v>
      </c>
      <c r="N53">
        <f t="shared" si="1"/>
        <v>0.81160493827160496</v>
      </c>
    </row>
    <row r="54" spans="1:14" x14ac:dyDescent="0.35">
      <c r="A54" t="s">
        <v>74</v>
      </c>
      <c r="B54">
        <v>10</v>
      </c>
      <c r="C54" t="s">
        <v>15</v>
      </c>
      <c r="D54" s="5">
        <v>44842</v>
      </c>
      <c r="E54" s="8">
        <v>0.625</v>
      </c>
      <c r="F54" t="s">
        <v>28</v>
      </c>
      <c r="G54" t="s">
        <v>52</v>
      </c>
      <c r="H54" t="s">
        <v>18</v>
      </c>
      <c r="I54" s="7">
        <v>3696</v>
      </c>
      <c r="J54" t="s">
        <v>31</v>
      </c>
      <c r="K54">
        <v>2023</v>
      </c>
      <c r="L54" s="1">
        <f t="shared" si="2"/>
        <v>10</v>
      </c>
      <c r="M54">
        <f>_xlfn.XLOOKUP(J54,Capacities!$A$2:$A$15,Capacities!$B$2:$B$15)</f>
        <v>9672</v>
      </c>
      <c r="N54">
        <f t="shared" si="1"/>
        <v>0.38213399503722084</v>
      </c>
    </row>
    <row r="55" spans="1:14" x14ac:dyDescent="0.35">
      <c r="A55" t="s">
        <v>74</v>
      </c>
      <c r="B55">
        <v>10</v>
      </c>
      <c r="C55" t="s">
        <v>15</v>
      </c>
      <c r="D55" s="5">
        <v>44842</v>
      </c>
      <c r="E55" s="8">
        <v>0.625</v>
      </c>
      <c r="F55" t="s">
        <v>34</v>
      </c>
      <c r="G55" t="s">
        <v>41</v>
      </c>
      <c r="H55" t="s">
        <v>39</v>
      </c>
      <c r="I55" s="7">
        <v>49274</v>
      </c>
      <c r="J55" t="s">
        <v>42</v>
      </c>
      <c r="K55">
        <v>2023</v>
      </c>
      <c r="L55" s="1">
        <f t="shared" si="2"/>
        <v>10</v>
      </c>
      <c r="M55">
        <f>_xlfn.XLOOKUP(J55,Capacities!$A$2:$A$15,Capacities!$B$2:$B$15)</f>
        <v>51082</v>
      </c>
      <c r="N55">
        <f t="shared" si="1"/>
        <v>0.96460592772405152</v>
      </c>
    </row>
    <row r="56" spans="1:14" x14ac:dyDescent="0.35">
      <c r="A56" t="s">
        <v>74</v>
      </c>
      <c r="B56">
        <v>10</v>
      </c>
      <c r="C56" t="s">
        <v>15</v>
      </c>
      <c r="D56" s="5">
        <v>44842</v>
      </c>
      <c r="E56" s="8">
        <v>0.75</v>
      </c>
      <c r="F56" t="s">
        <v>75</v>
      </c>
      <c r="G56" t="s">
        <v>41</v>
      </c>
      <c r="H56" t="s">
        <v>30</v>
      </c>
      <c r="I56" s="7">
        <v>11010</v>
      </c>
      <c r="J56" t="s">
        <v>76</v>
      </c>
      <c r="K56">
        <v>2023</v>
      </c>
      <c r="L56" s="1">
        <f t="shared" si="2"/>
        <v>10</v>
      </c>
      <c r="M56">
        <f>_xlfn.XLOOKUP(J56,Capacities!$A$2:$A$15,Capacities!$B$2:$B$15)</f>
        <v>14223</v>
      </c>
      <c r="N56">
        <f t="shared" si="1"/>
        <v>0.77409829149968357</v>
      </c>
    </row>
    <row r="57" spans="1:14" x14ac:dyDescent="0.35">
      <c r="A57" t="s">
        <v>74</v>
      </c>
      <c r="B57">
        <v>10</v>
      </c>
      <c r="C57" t="s">
        <v>36</v>
      </c>
      <c r="D57" s="5">
        <v>44843</v>
      </c>
      <c r="E57" s="8">
        <v>0.625</v>
      </c>
      <c r="F57" t="s">
        <v>32</v>
      </c>
      <c r="G57" t="s">
        <v>51</v>
      </c>
      <c r="H57" t="s">
        <v>26</v>
      </c>
      <c r="I57" s="7">
        <v>6651</v>
      </c>
      <c r="J57" t="s">
        <v>35</v>
      </c>
      <c r="K57">
        <v>2023</v>
      </c>
      <c r="L57" s="1">
        <f t="shared" si="2"/>
        <v>10</v>
      </c>
      <c r="M57">
        <f>_xlfn.XLOOKUP(J57,Capacities!$A$2:$A$15,Capacities!$B$2:$B$15)</f>
        <v>18128</v>
      </c>
      <c r="N57">
        <f t="shared" si="1"/>
        <v>0.36689099735216241</v>
      </c>
    </row>
    <row r="58" spans="1:14" x14ac:dyDescent="0.35">
      <c r="A58" t="s">
        <v>74</v>
      </c>
      <c r="B58">
        <v>7</v>
      </c>
      <c r="C58" t="s">
        <v>58</v>
      </c>
      <c r="D58" s="5">
        <v>44845</v>
      </c>
      <c r="E58" s="8">
        <v>0.82291666666666663</v>
      </c>
      <c r="F58" t="s">
        <v>75</v>
      </c>
      <c r="G58" t="s">
        <v>33</v>
      </c>
      <c r="H58" t="s">
        <v>37</v>
      </c>
      <c r="I58" s="7">
        <v>9112</v>
      </c>
      <c r="J58" t="s">
        <v>76</v>
      </c>
      <c r="K58">
        <v>2023</v>
      </c>
      <c r="L58" s="1">
        <f t="shared" si="2"/>
        <v>7</v>
      </c>
      <c r="M58">
        <f>_xlfn.XLOOKUP(J58,Capacities!$A$2:$A$15,Capacities!$B$2:$B$15)</f>
        <v>14223</v>
      </c>
      <c r="N58">
        <f t="shared" si="1"/>
        <v>0.64065246431835754</v>
      </c>
    </row>
    <row r="59" spans="1:14" x14ac:dyDescent="0.35">
      <c r="A59" t="s">
        <v>74</v>
      </c>
      <c r="B59">
        <v>11</v>
      </c>
      <c r="C59" t="s">
        <v>15</v>
      </c>
      <c r="D59" s="5">
        <v>44849</v>
      </c>
      <c r="E59" s="8">
        <v>0.625</v>
      </c>
      <c r="F59" t="s">
        <v>16</v>
      </c>
      <c r="G59" t="s">
        <v>78</v>
      </c>
      <c r="H59" t="s">
        <v>37</v>
      </c>
      <c r="I59" s="7">
        <v>58969</v>
      </c>
      <c r="J59" t="s">
        <v>19</v>
      </c>
      <c r="K59">
        <v>2023</v>
      </c>
      <c r="L59" s="1">
        <f t="shared" si="2"/>
        <v>11</v>
      </c>
      <c r="M59">
        <f>_xlfn.XLOOKUP(J59,Capacities!$A$2:$A$15,Capacities!$B$2:$B$15)</f>
        <v>60500</v>
      </c>
      <c r="N59">
        <f t="shared" si="1"/>
        <v>0.97469421487603303</v>
      </c>
    </row>
    <row r="60" spans="1:14" x14ac:dyDescent="0.35">
      <c r="A60" t="s">
        <v>74</v>
      </c>
      <c r="B60">
        <v>11</v>
      </c>
      <c r="C60" t="s">
        <v>15</v>
      </c>
      <c r="D60" s="5">
        <v>44849</v>
      </c>
      <c r="E60" s="8">
        <v>0.625</v>
      </c>
      <c r="F60" t="s">
        <v>28</v>
      </c>
      <c r="G60" t="s">
        <v>33</v>
      </c>
      <c r="H60" t="s">
        <v>24</v>
      </c>
      <c r="I60" s="7">
        <v>1554</v>
      </c>
      <c r="J60" t="s">
        <v>31</v>
      </c>
      <c r="K60">
        <v>2023</v>
      </c>
      <c r="L60" s="1">
        <f t="shared" si="2"/>
        <v>11</v>
      </c>
      <c r="M60">
        <f>_xlfn.XLOOKUP(J60,Capacities!$A$2:$A$15,Capacities!$B$2:$B$15)</f>
        <v>9672</v>
      </c>
      <c r="N60">
        <f t="shared" si="1"/>
        <v>0.16066997518610421</v>
      </c>
    </row>
    <row r="61" spans="1:14" x14ac:dyDescent="0.35">
      <c r="A61" t="s">
        <v>74</v>
      </c>
      <c r="B61">
        <v>11</v>
      </c>
      <c r="C61" t="s">
        <v>15</v>
      </c>
      <c r="D61" s="5">
        <v>44849</v>
      </c>
      <c r="E61" s="8">
        <v>0.625</v>
      </c>
      <c r="F61" t="s">
        <v>18</v>
      </c>
      <c r="G61" t="s">
        <v>21</v>
      </c>
      <c r="H61" t="s">
        <v>75</v>
      </c>
      <c r="I61" s="7">
        <v>3744</v>
      </c>
      <c r="J61" t="s">
        <v>44</v>
      </c>
      <c r="K61">
        <v>2023</v>
      </c>
      <c r="L61" s="1">
        <f t="shared" si="2"/>
        <v>11</v>
      </c>
      <c r="M61">
        <f>_xlfn.XLOOKUP(J61,Capacities!$A$2:$A$15,Capacities!$B$2:$B$15)</f>
        <v>6541</v>
      </c>
      <c r="N61">
        <f t="shared" si="1"/>
        <v>0.5723895428833512</v>
      </c>
    </row>
    <row r="62" spans="1:14" x14ac:dyDescent="0.35">
      <c r="A62" t="s">
        <v>74</v>
      </c>
      <c r="B62">
        <v>11</v>
      </c>
      <c r="C62" t="s">
        <v>15</v>
      </c>
      <c r="D62" s="5">
        <v>44849</v>
      </c>
      <c r="E62" s="8">
        <v>0.625</v>
      </c>
      <c r="F62" t="s">
        <v>39</v>
      </c>
      <c r="G62" t="s">
        <v>29</v>
      </c>
      <c r="H62" t="s">
        <v>32</v>
      </c>
      <c r="I62" s="7">
        <v>6785</v>
      </c>
      <c r="J62" t="s">
        <v>46</v>
      </c>
      <c r="K62">
        <v>2023</v>
      </c>
      <c r="L62" s="1">
        <f t="shared" si="2"/>
        <v>11</v>
      </c>
      <c r="M62">
        <f>_xlfn.XLOOKUP(J62,Capacities!$A$2:$A$15,Capacities!$B$2:$B$15)</f>
        <v>8006</v>
      </c>
      <c r="N62">
        <f t="shared" si="1"/>
        <v>0.84748938296277787</v>
      </c>
    </row>
    <row r="63" spans="1:14" x14ac:dyDescent="0.35">
      <c r="A63" t="s">
        <v>74</v>
      </c>
      <c r="B63">
        <v>11</v>
      </c>
      <c r="C63" t="s">
        <v>36</v>
      </c>
      <c r="D63" s="5">
        <v>44850</v>
      </c>
      <c r="E63" s="8">
        <v>0.5</v>
      </c>
      <c r="F63" t="s">
        <v>22</v>
      </c>
      <c r="G63" t="s">
        <v>55</v>
      </c>
      <c r="H63" t="s">
        <v>34</v>
      </c>
      <c r="I63" s="7">
        <v>8498</v>
      </c>
      <c r="J63" t="s">
        <v>49</v>
      </c>
      <c r="K63">
        <v>2023</v>
      </c>
      <c r="L63" s="1">
        <f t="shared" si="2"/>
        <v>11</v>
      </c>
      <c r="M63">
        <f>_xlfn.XLOOKUP(J63,Capacities!$A$2:$A$15,Capacities!$B$2:$B$15)</f>
        <v>13750</v>
      </c>
      <c r="N63">
        <f t="shared" si="1"/>
        <v>0.61803636363636361</v>
      </c>
    </row>
    <row r="64" spans="1:14" x14ac:dyDescent="0.35">
      <c r="A64" t="s">
        <v>74</v>
      </c>
      <c r="B64">
        <v>11</v>
      </c>
      <c r="C64" t="s">
        <v>36</v>
      </c>
      <c r="D64" s="5">
        <v>44850</v>
      </c>
      <c r="E64" s="8">
        <v>0.625</v>
      </c>
      <c r="F64" t="s">
        <v>30</v>
      </c>
      <c r="G64" t="s">
        <v>43</v>
      </c>
      <c r="H64" t="s">
        <v>26</v>
      </c>
      <c r="I64" s="7">
        <v>14711</v>
      </c>
      <c r="J64" t="s">
        <v>48</v>
      </c>
      <c r="K64">
        <v>2023</v>
      </c>
      <c r="L64" s="1">
        <f t="shared" si="2"/>
        <v>11</v>
      </c>
      <c r="M64">
        <f>_xlfn.XLOOKUP(J64,Capacities!$A$2:$A$15,Capacities!$B$2:$B$15)</f>
        <v>21412</v>
      </c>
      <c r="N64">
        <f t="shared" si="1"/>
        <v>0.68704464786101249</v>
      </c>
    </row>
    <row r="65" spans="1:14" x14ac:dyDescent="0.35">
      <c r="A65" t="s">
        <v>74</v>
      </c>
      <c r="B65">
        <v>12</v>
      </c>
      <c r="C65" t="s">
        <v>79</v>
      </c>
      <c r="D65" s="5">
        <v>44855</v>
      </c>
      <c r="E65" s="8">
        <v>0.8125</v>
      </c>
      <c r="F65" t="s">
        <v>37</v>
      </c>
      <c r="G65" t="s">
        <v>55</v>
      </c>
      <c r="H65" t="s">
        <v>24</v>
      </c>
      <c r="I65" s="7">
        <v>20010</v>
      </c>
      <c r="J65" t="s">
        <v>40</v>
      </c>
      <c r="K65">
        <v>2023</v>
      </c>
      <c r="L65" s="1">
        <f t="shared" si="2"/>
        <v>12</v>
      </c>
      <c r="M65">
        <f>_xlfn.XLOOKUP(J65,Capacities!$A$2:$A$15,Capacities!$B$2:$B$15)</f>
        <v>20250</v>
      </c>
      <c r="N65">
        <f t="shared" si="1"/>
        <v>0.98814814814814811</v>
      </c>
    </row>
    <row r="66" spans="1:14" x14ac:dyDescent="0.35">
      <c r="A66" t="s">
        <v>74</v>
      </c>
      <c r="B66">
        <v>12</v>
      </c>
      <c r="C66" t="s">
        <v>15</v>
      </c>
      <c r="D66" s="5">
        <v>44856</v>
      </c>
      <c r="E66" s="8">
        <v>0.52083333333333337</v>
      </c>
      <c r="F66" t="s">
        <v>26</v>
      </c>
      <c r="G66" t="s">
        <v>80</v>
      </c>
      <c r="H66" t="s">
        <v>16</v>
      </c>
      <c r="I66" s="7">
        <v>18081</v>
      </c>
      <c r="J66" t="s">
        <v>50</v>
      </c>
      <c r="K66">
        <v>2023</v>
      </c>
      <c r="L66" s="1">
        <f t="shared" ref="L66:L97" si="3">B66</f>
        <v>12</v>
      </c>
      <c r="M66">
        <f>_xlfn.XLOOKUP(J66,Capacities!$A$2:$A$15,Capacities!$B$2:$B$15)</f>
        <v>19852</v>
      </c>
      <c r="N66">
        <f t="shared" ref="N66:N129" si="4">I66/M66</f>
        <v>0.91078984485190406</v>
      </c>
    </row>
    <row r="67" spans="1:14" x14ac:dyDescent="0.35">
      <c r="A67" t="s">
        <v>74</v>
      </c>
      <c r="B67">
        <v>12</v>
      </c>
      <c r="C67" t="s">
        <v>15</v>
      </c>
      <c r="D67" s="5">
        <v>44856</v>
      </c>
      <c r="E67" s="8">
        <v>0.625</v>
      </c>
      <c r="F67" t="s">
        <v>32</v>
      </c>
      <c r="G67" t="s">
        <v>33</v>
      </c>
      <c r="H67" t="s">
        <v>18</v>
      </c>
      <c r="I67" s="7">
        <v>4640</v>
      </c>
      <c r="J67" t="s">
        <v>35</v>
      </c>
      <c r="K67">
        <v>2023</v>
      </c>
      <c r="L67" s="1">
        <f t="shared" si="3"/>
        <v>12</v>
      </c>
      <c r="M67">
        <f>_xlfn.XLOOKUP(J67,Capacities!$A$2:$A$15,Capacities!$B$2:$B$15)</f>
        <v>18128</v>
      </c>
      <c r="N67">
        <f t="shared" si="4"/>
        <v>0.25595763459841131</v>
      </c>
    </row>
    <row r="68" spans="1:14" x14ac:dyDescent="0.35">
      <c r="A68" t="s">
        <v>74</v>
      </c>
      <c r="B68">
        <v>12</v>
      </c>
      <c r="C68" t="s">
        <v>15</v>
      </c>
      <c r="D68" s="5">
        <v>44856</v>
      </c>
      <c r="E68" s="8">
        <v>0.625</v>
      </c>
      <c r="F68" t="s">
        <v>22</v>
      </c>
      <c r="G68" t="s">
        <v>55</v>
      </c>
      <c r="H68" t="s">
        <v>30</v>
      </c>
      <c r="I68" s="7">
        <v>5486</v>
      </c>
      <c r="J68" t="s">
        <v>49</v>
      </c>
      <c r="K68">
        <v>2023</v>
      </c>
      <c r="L68" s="1">
        <f t="shared" si="3"/>
        <v>12</v>
      </c>
      <c r="M68">
        <f>_xlfn.XLOOKUP(J68,Capacities!$A$2:$A$15,Capacities!$B$2:$B$15)</f>
        <v>13750</v>
      </c>
      <c r="N68">
        <f t="shared" si="4"/>
        <v>0.39898181818181816</v>
      </c>
    </row>
    <row r="69" spans="1:14" x14ac:dyDescent="0.35">
      <c r="A69" t="s">
        <v>74</v>
      </c>
      <c r="B69">
        <v>12</v>
      </c>
      <c r="C69" t="s">
        <v>15</v>
      </c>
      <c r="D69" s="5">
        <v>44856</v>
      </c>
      <c r="E69" s="8">
        <v>0.625</v>
      </c>
      <c r="F69" t="s">
        <v>34</v>
      </c>
      <c r="G69" t="s">
        <v>21</v>
      </c>
      <c r="H69" t="s">
        <v>28</v>
      </c>
      <c r="I69" s="7">
        <v>48855</v>
      </c>
      <c r="J69" t="s">
        <v>42</v>
      </c>
      <c r="K69">
        <v>2023</v>
      </c>
      <c r="L69" s="1">
        <f t="shared" si="3"/>
        <v>12</v>
      </c>
      <c r="M69">
        <f>_xlfn.XLOOKUP(J69,Capacities!$A$2:$A$15,Capacities!$B$2:$B$15)</f>
        <v>51082</v>
      </c>
      <c r="N69">
        <f t="shared" si="4"/>
        <v>0.95640342977957016</v>
      </c>
    </row>
    <row r="70" spans="1:14" x14ac:dyDescent="0.35">
      <c r="A70" t="s">
        <v>74</v>
      </c>
      <c r="B70">
        <v>12</v>
      </c>
      <c r="C70" t="s">
        <v>15</v>
      </c>
      <c r="D70" s="5">
        <v>44856</v>
      </c>
      <c r="E70" s="8">
        <v>0.625</v>
      </c>
      <c r="F70" t="s">
        <v>39</v>
      </c>
      <c r="G70" t="s">
        <v>45</v>
      </c>
      <c r="H70" t="s">
        <v>75</v>
      </c>
      <c r="I70" s="7">
        <v>6273</v>
      </c>
      <c r="J70" t="s">
        <v>46</v>
      </c>
      <c r="K70">
        <v>2023</v>
      </c>
      <c r="L70" s="1">
        <f t="shared" si="3"/>
        <v>12</v>
      </c>
      <c r="M70">
        <f>_xlfn.XLOOKUP(J70,Capacities!$A$2:$A$15,Capacities!$B$2:$B$15)</f>
        <v>8006</v>
      </c>
      <c r="N70">
        <f t="shared" si="4"/>
        <v>0.78353734698975763</v>
      </c>
    </row>
    <row r="71" spans="1:14" x14ac:dyDescent="0.35">
      <c r="A71" t="s">
        <v>74</v>
      </c>
      <c r="B71">
        <v>13</v>
      </c>
      <c r="C71" t="s">
        <v>15</v>
      </c>
      <c r="D71" s="5">
        <v>44863</v>
      </c>
      <c r="E71" s="8">
        <v>0.625</v>
      </c>
      <c r="F71" t="s">
        <v>75</v>
      </c>
      <c r="G71" t="s">
        <v>52</v>
      </c>
      <c r="H71" t="s">
        <v>22</v>
      </c>
      <c r="I71" s="7">
        <v>7581</v>
      </c>
      <c r="J71" t="s">
        <v>76</v>
      </c>
      <c r="K71">
        <v>2023</v>
      </c>
      <c r="L71" s="1">
        <f t="shared" si="3"/>
        <v>13</v>
      </c>
      <c r="M71">
        <f>_xlfn.XLOOKUP(J71,Capacities!$A$2:$A$15,Capacities!$B$2:$B$15)</f>
        <v>14223</v>
      </c>
      <c r="N71">
        <f t="shared" si="4"/>
        <v>0.53300991352035432</v>
      </c>
    </row>
    <row r="72" spans="1:14" x14ac:dyDescent="0.35">
      <c r="A72" t="s">
        <v>74</v>
      </c>
      <c r="B72">
        <v>13</v>
      </c>
      <c r="C72" t="s">
        <v>15</v>
      </c>
      <c r="D72" s="5">
        <v>44863</v>
      </c>
      <c r="E72" s="8">
        <v>0.625</v>
      </c>
      <c r="F72" t="s">
        <v>37</v>
      </c>
      <c r="G72" t="s">
        <v>53</v>
      </c>
      <c r="H72" t="s">
        <v>39</v>
      </c>
      <c r="I72" s="7">
        <v>15256</v>
      </c>
      <c r="J72" t="s">
        <v>40</v>
      </c>
      <c r="K72">
        <v>2023</v>
      </c>
      <c r="L72" s="1">
        <f t="shared" si="3"/>
        <v>13</v>
      </c>
      <c r="M72">
        <f>_xlfn.XLOOKUP(J72,Capacities!$A$2:$A$15,Capacities!$B$2:$B$15)</f>
        <v>20250</v>
      </c>
      <c r="N72">
        <f t="shared" si="4"/>
        <v>0.75338271604938267</v>
      </c>
    </row>
    <row r="73" spans="1:14" x14ac:dyDescent="0.35">
      <c r="A73" t="s">
        <v>74</v>
      </c>
      <c r="B73">
        <v>13</v>
      </c>
      <c r="C73" t="s">
        <v>15</v>
      </c>
      <c r="D73" s="5">
        <v>44863</v>
      </c>
      <c r="E73" s="8">
        <v>0.625</v>
      </c>
      <c r="F73" t="s">
        <v>34</v>
      </c>
      <c r="G73" t="s">
        <v>64</v>
      </c>
      <c r="H73" t="s">
        <v>30</v>
      </c>
      <c r="I73" s="7">
        <v>49365</v>
      </c>
      <c r="J73" t="s">
        <v>42</v>
      </c>
      <c r="K73">
        <v>2023</v>
      </c>
      <c r="L73" s="1">
        <f t="shared" si="3"/>
        <v>13</v>
      </c>
      <c r="M73">
        <f>_xlfn.XLOOKUP(J73,Capacities!$A$2:$A$15,Capacities!$B$2:$B$15)</f>
        <v>51082</v>
      </c>
      <c r="N73">
        <f t="shared" si="4"/>
        <v>0.96638737715829448</v>
      </c>
    </row>
    <row r="74" spans="1:14" x14ac:dyDescent="0.35">
      <c r="A74" t="s">
        <v>74</v>
      </c>
      <c r="B74">
        <v>13</v>
      </c>
      <c r="C74" t="s">
        <v>15</v>
      </c>
      <c r="D74" s="5">
        <v>44863</v>
      </c>
      <c r="E74" s="8">
        <v>0.625</v>
      </c>
      <c r="F74" t="s">
        <v>24</v>
      </c>
      <c r="G74" t="s">
        <v>33</v>
      </c>
      <c r="H74" t="s">
        <v>32</v>
      </c>
      <c r="I74" s="7">
        <v>3995</v>
      </c>
      <c r="J74" t="s">
        <v>27</v>
      </c>
      <c r="K74">
        <v>2023</v>
      </c>
      <c r="L74" s="1">
        <f t="shared" si="3"/>
        <v>13</v>
      </c>
      <c r="M74">
        <f>_xlfn.XLOOKUP(J74,Capacities!$A$2:$A$15,Capacities!$B$2:$B$15)</f>
        <v>10700</v>
      </c>
      <c r="N74">
        <f t="shared" si="4"/>
        <v>0.37336448598130839</v>
      </c>
    </row>
    <row r="75" spans="1:14" x14ac:dyDescent="0.35">
      <c r="A75" t="s">
        <v>74</v>
      </c>
      <c r="B75">
        <v>13</v>
      </c>
      <c r="C75" t="s">
        <v>36</v>
      </c>
      <c r="D75" s="5">
        <v>44864</v>
      </c>
      <c r="E75" s="8">
        <v>0.5</v>
      </c>
      <c r="F75" t="s">
        <v>28</v>
      </c>
      <c r="G75" t="s">
        <v>54</v>
      </c>
      <c r="H75" t="s">
        <v>16</v>
      </c>
      <c r="I75" s="7">
        <v>8825</v>
      </c>
      <c r="J75" t="s">
        <v>31</v>
      </c>
      <c r="K75">
        <v>2023</v>
      </c>
      <c r="L75" s="1">
        <f t="shared" si="3"/>
        <v>13</v>
      </c>
      <c r="M75">
        <f>_xlfn.XLOOKUP(J75,Capacities!$A$2:$A$15,Capacities!$B$2:$B$15)</f>
        <v>9672</v>
      </c>
      <c r="N75">
        <f t="shared" si="4"/>
        <v>0.91242762613730355</v>
      </c>
    </row>
    <row r="76" spans="1:14" x14ac:dyDescent="0.35">
      <c r="A76" t="s">
        <v>74</v>
      </c>
      <c r="B76">
        <v>13</v>
      </c>
      <c r="C76" t="s">
        <v>36</v>
      </c>
      <c r="D76" s="5">
        <v>44864</v>
      </c>
      <c r="E76" s="8">
        <v>0.625</v>
      </c>
      <c r="F76" t="s">
        <v>18</v>
      </c>
      <c r="G76" t="s">
        <v>55</v>
      </c>
      <c r="H76" t="s">
        <v>26</v>
      </c>
      <c r="I76" s="7">
        <v>4438</v>
      </c>
      <c r="J76" t="s">
        <v>44</v>
      </c>
      <c r="K76">
        <v>2023</v>
      </c>
      <c r="L76" s="1">
        <f t="shared" si="3"/>
        <v>13</v>
      </c>
      <c r="M76">
        <f>_xlfn.XLOOKUP(J76,Capacities!$A$2:$A$15,Capacities!$B$2:$B$15)</f>
        <v>6541</v>
      </c>
      <c r="N76">
        <f t="shared" si="4"/>
        <v>0.6784895275951689</v>
      </c>
    </row>
    <row r="77" spans="1:14" x14ac:dyDescent="0.35">
      <c r="A77" t="s">
        <v>74</v>
      </c>
      <c r="B77">
        <v>14</v>
      </c>
      <c r="C77" t="s">
        <v>79</v>
      </c>
      <c r="D77" s="5">
        <v>44869</v>
      </c>
      <c r="E77" s="8">
        <v>0.8125</v>
      </c>
      <c r="F77" t="s">
        <v>30</v>
      </c>
      <c r="G77" t="s">
        <v>64</v>
      </c>
      <c r="H77" t="s">
        <v>37</v>
      </c>
      <c r="I77" s="7">
        <v>16479</v>
      </c>
      <c r="J77" t="s">
        <v>48</v>
      </c>
      <c r="K77">
        <v>2023</v>
      </c>
      <c r="L77" s="1">
        <f t="shared" si="3"/>
        <v>14</v>
      </c>
      <c r="M77">
        <f>_xlfn.XLOOKUP(J77,Capacities!$A$2:$A$15,Capacities!$B$2:$B$15)</f>
        <v>21412</v>
      </c>
      <c r="N77">
        <f t="shared" si="4"/>
        <v>0.76961516906407623</v>
      </c>
    </row>
    <row r="78" spans="1:14" x14ac:dyDescent="0.35">
      <c r="A78" t="s">
        <v>74</v>
      </c>
      <c r="B78">
        <v>14</v>
      </c>
      <c r="C78" t="s">
        <v>79</v>
      </c>
      <c r="D78" s="5">
        <v>44869</v>
      </c>
      <c r="E78" s="8">
        <v>0.82291666666666663</v>
      </c>
      <c r="F78" t="s">
        <v>32</v>
      </c>
      <c r="G78" t="s">
        <v>38</v>
      </c>
      <c r="H78" t="s">
        <v>28</v>
      </c>
      <c r="I78" s="7">
        <v>5239</v>
      </c>
      <c r="J78" t="s">
        <v>35</v>
      </c>
      <c r="K78">
        <v>2023</v>
      </c>
      <c r="L78" s="1">
        <f t="shared" si="3"/>
        <v>14</v>
      </c>
      <c r="M78">
        <f>_xlfn.XLOOKUP(J78,Capacities!$A$2:$A$15,Capacities!$B$2:$B$15)</f>
        <v>18128</v>
      </c>
      <c r="N78">
        <f t="shared" si="4"/>
        <v>0.28900044130626656</v>
      </c>
    </row>
    <row r="79" spans="1:14" x14ac:dyDescent="0.35">
      <c r="A79" t="s">
        <v>74</v>
      </c>
      <c r="B79">
        <v>14</v>
      </c>
      <c r="C79" t="s">
        <v>15</v>
      </c>
      <c r="D79" s="5">
        <v>44870</v>
      </c>
      <c r="E79" s="8">
        <v>0.625</v>
      </c>
      <c r="F79" t="s">
        <v>16</v>
      </c>
      <c r="G79" t="s">
        <v>17</v>
      </c>
      <c r="H79" t="s">
        <v>75</v>
      </c>
      <c r="I79" s="7">
        <v>58696</v>
      </c>
      <c r="J79" t="s">
        <v>19</v>
      </c>
      <c r="K79">
        <v>2023</v>
      </c>
      <c r="L79" s="1">
        <f t="shared" si="3"/>
        <v>14</v>
      </c>
      <c r="M79">
        <f>_xlfn.XLOOKUP(J79,Capacities!$A$2:$A$15,Capacities!$B$2:$B$15)</f>
        <v>60500</v>
      </c>
      <c r="N79">
        <f t="shared" si="4"/>
        <v>0.97018181818181815</v>
      </c>
    </row>
    <row r="80" spans="1:14" x14ac:dyDescent="0.35">
      <c r="A80" t="s">
        <v>74</v>
      </c>
      <c r="B80">
        <v>14</v>
      </c>
      <c r="C80" t="s">
        <v>15</v>
      </c>
      <c r="D80" s="5">
        <v>44870</v>
      </c>
      <c r="E80" s="8">
        <v>0.625</v>
      </c>
      <c r="F80" t="s">
        <v>18</v>
      </c>
      <c r="G80" t="s">
        <v>65</v>
      </c>
      <c r="H80" t="s">
        <v>39</v>
      </c>
      <c r="I80" s="7">
        <v>3589</v>
      </c>
      <c r="J80" t="s">
        <v>44</v>
      </c>
      <c r="K80">
        <v>2023</v>
      </c>
      <c r="L80" s="1">
        <f t="shared" si="3"/>
        <v>14</v>
      </c>
      <c r="M80">
        <f>_xlfn.XLOOKUP(J80,Capacities!$A$2:$A$15,Capacities!$B$2:$B$15)</f>
        <v>6541</v>
      </c>
      <c r="N80">
        <f t="shared" si="4"/>
        <v>0.5486928604188962</v>
      </c>
    </row>
    <row r="81" spans="1:14" x14ac:dyDescent="0.35">
      <c r="A81" t="s">
        <v>74</v>
      </c>
      <c r="B81">
        <v>14</v>
      </c>
      <c r="C81" t="s">
        <v>36</v>
      </c>
      <c r="D81" s="5">
        <v>44871</v>
      </c>
      <c r="E81" s="8">
        <v>0.5</v>
      </c>
      <c r="F81" t="s">
        <v>24</v>
      </c>
      <c r="G81" t="s">
        <v>45</v>
      </c>
      <c r="H81" t="s">
        <v>34</v>
      </c>
      <c r="I81" s="7">
        <v>7487</v>
      </c>
      <c r="J81" t="s">
        <v>27</v>
      </c>
      <c r="K81">
        <v>2023</v>
      </c>
      <c r="L81" s="1">
        <f t="shared" si="3"/>
        <v>14</v>
      </c>
      <c r="M81">
        <f>_xlfn.XLOOKUP(J81,Capacities!$A$2:$A$15,Capacities!$B$2:$B$15)</f>
        <v>10700</v>
      </c>
      <c r="N81">
        <f t="shared" si="4"/>
        <v>0.69971962616822425</v>
      </c>
    </row>
    <row r="82" spans="1:14" x14ac:dyDescent="0.35">
      <c r="A82" t="s">
        <v>74</v>
      </c>
      <c r="B82">
        <v>14</v>
      </c>
      <c r="C82" t="s">
        <v>36</v>
      </c>
      <c r="D82" s="5">
        <v>44871</v>
      </c>
      <c r="E82" s="8">
        <v>0.625</v>
      </c>
      <c r="F82" t="s">
        <v>26</v>
      </c>
      <c r="G82" t="s">
        <v>65</v>
      </c>
      <c r="H82" t="s">
        <v>22</v>
      </c>
      <c r="I82" s="7">
        <v>18806</v>
      </c>
      <c r="J82" t="s">
        <v>50</v>
      </c>
      <c r="K82">
        <v>2023</v>
      </c>
      <c r="L82" s="1">
        <f t="shared" si="3"/>
        <v>14</v>
      </c>
      <c r="M82">
        <f>_xlfn.XLOOKUP(J82,Capacities!$A$2:$A$15,Capacities!$B$2:$B$15)</f>
        <v>19852</v>
      </c>
      <c r="N82">
        <f t="shared" si="4"/>
        <v>0.94731009470078587</v>
      </c>
    </row>
    <row r="83" spans="1:14" x14ac:dyDescent="0.35">
      <c r="A83" t="s">
        <v>74</v>
      </c>
      <c r="B83">
        <v>15</v>
      </c>
      <c r="C83" t="s">
        <v>58</v>
      </c>
      <c r="D83" s="5">
        <v>44873</v>
      </c>
      <c r="E83" s="8">
        <v>0.82291666666666663</v>
      </c>
      <c r="F83" t="s">
        <v>37</v>
      </c>
      <c r="G83" t="s">
        <v>25</v>
      </c>
      <c r="H83" t="s">
        <v>18</v>
      </c>
      <c r="I83" s="7">
        <v>13930</v>
      </c>
      <c r="J83" t="s">
        <v>40</v>
      </c>
      <c r="K83">
        <v>2023</v>
      </c>
      <c r="L83" s="1">
        <f t="shared" si="3"/>
        <v>15</v>
      </c>
      <c r="M83">
        <f>_xlfn.XLOOKUP(J83,Capacities!$A$2:$A$15,Capacities!$B$2:$B$15)</f>
        <v>20250</v>
      </c>
      <c r="N83">
        <f t="shared" si="4"/>
        <v>0.6879012345679012</v>
      </c>
    </row>
    <row r="84" spans="1:14" x14ac:dyDescent="0.35">
      <c r="A84" t="s">
        <v>74</v>
      </c>
      <c r="B84">
        <v>15</v>
      </c>
      <c r="C84" t="s">
        <v>58</v>
      </c>
      <c r="D84" s="5">
        <v>44873</v>
      </c>
      <c r="E84" s="8">
        <v>0.82291666666666663</v>
      </c>
      <c r="F84" t="s">
        <v>28</v>
      </c>
      <c r="G84" t="s">
        <v>45</v>
      </c>
      <c r="H84" t="s">
        <v>30</v>
      </c>
      <c r="I84" s="7">
        <v>2598</v>
      </c>
      <c r="J84" t="s">
        <v>31</v>
      </c>
      <c r="K84">
        <v>2023</v>
      </c>
      <c r="L84" s="1">
        <f t="shared" si="3"/>
        <v>15</v>
      </c>
      <c r="M84">
        <f>_xlfn.XLOOKUP(J84,Capacities!$A$2:$A$15,Capacities!$B$2:$B$15)</f>
        <v>9672</v>
      </c>
      <c r="N84">
        <f t="shared" si="4"/>
        <v>0.2686104218362283</v>
      </c>
    </row>
    <row r="85" spans="1:14" x14ac:dyDescent="0.35">
      <c r="A85" t="s">
        <v>74</v>
      </c>
      <c r="B85">
        <v>15</v>
      </c>
      <c r="C85" t="s">
        <v>60</v>
      </c>
      <c r="D85" s="5">
        <v>44874</v>
      </c>
      <c r="E85" s="8">
        <v>0.82291666666666663</v>
      </c>
      <c r="F85" t="s">
        <v>75</v>
      </c>
      <c r="G85" t="s">
        <v>41</v>
      </c>
      <c r="H85" t="s">
        <v>32</v>
      </c>
      <c r="I85" s="7">
        <v>7430</v>
      </c>
      <c r="J85" t="s">
        <v>76</v>
      </c>
      <c r="K85">
        <v>2023</v>
      </c>
      <c r="L85" s="1">
        <f t="shared" si="3"/>
        <v>15</v>
      </c>
      <c r="M85">
        <f>_xlfn.XLOOKUP(J85,Capacities!$A$2:$A$15,Capacities!$B$2:$B$15)</f>
        <v>14223</v>
      </c>
      <c r="N85">
        <f t="shared" si="4"/>
        <v>0.52239330661604444</v>
      </c>
    </row>
    <row r="86" spans="1:14" x14ac:dyDescent="0.35">
      <c r="A86" t="s">
        <v>74</v>
      </c>
      <c r="B86">
        <v>15</v>
      </c>
      <c r="C86" t="s">
        <v>60</v>
      </c>
      <c r="D86" s="5">
        <v>44874</v>
      </c>
      <c r="E86" s="8">
        <v>0.82291666666666663</v>
      </c>
      <c r="F86" t="s">
        <v>22</v>
      </c>
      <c r="G86" t="s">
        <v>55</v>
      </c>
      <c r="H86" t="s">
        <v>16</v>
      </c>
      <c r="I86" s="7">
        <v>8315</v>
      </c>
      <c r="J86" t="s">
        <v>49</v>
      </c>
      <c r="K86">
        <v>2023</v>
      </c>
      <c r="L86" s="1">
        <f t="shared" si="3"/>
        <v>15</v>
      </c>
      <c r="M86">
        <f>_xlfn.XLOOKUP(J86,Capacities!$A$2:$A$15,Capacities!$B$2:$B$15)</f>
        <v>13750</v>
      </c>
      <c r="N86">
        <f t="shared" si="4"/>
        <v>0.60472727272727278</v>
      </c>
    </row>
    <row r="87" spans="1:14" x14ac:dyDescent="0.35">
      <c r="A87" t="s">
        <v>74</v>
      </c>
      <c r="B87">
        <v>15</v>
      </c>
      <c r="C87" t="s">
        <v>60</v>
      </c>
      <c r="D87" s="5">
        <v>44874</v>
      </c>
      <c r="E87" s="8">
        <v>0.82291666666666663</v>
      </c>
      <c r="F87" t="s">
        <v>34</v>
      </c>
      <c r="G87" t="s">
        <v>33</v>
      </c>
      <c r="H87" t="s">
        <v>26</v>
      </c>
      <c r="I87" s="7">
        <v>48376</v>
      </c>
      <c r="J87" t="s">
        <v>42</v>
      </c>
      <c r="K87">
        <v>2023</v>
      </c>
      <c r="L87" s="1">
        <f t="shared" si="3"/>
        <v>15</v>
      </c>
      <c r="M87">
        <f>_xlfn.XLOOKUP(J87,Capacities!$A$2:$A$15,Capacities!$B$2:$B$15)</f>
        <v>51082</v>
      </c>
      <c r="N87">
        <f t="shared" si="4"/>
        <v>0.94702634979053291</v>
      </c>
    </row>
    <row r="88" spans="1:14" x14ac:dyDescent="0.35">
      <c r="A88" t="s">
        <v>74</v>
      </c>
      <c r="B88">
        <v>15</v>
      </c>
      <c r="C88" t="s">
        <v>60</v>
      </c>
      <c r="D88" s="5">
        <v>44874</v>
      </c>
      <c r="E88" s="8">
        <v>0.82291666666666663</v>
      </c>
      <c r="F88" t="s">
        <v>39</v>
      </c>
      <c r="G88" t="s">
        <v>51</v>
      </c>
      <c r="H88" t="s">
        <v>24</v>
      </c>
      <c r="I88" s="7">
        <v>5387</v>
      </c>
      <c r="J88" t="s">
        <v>46</v>
      </c>
      <c r="K88">
        <v>2023</v>
      </c>
      <c r="L88" s="1">
        <f t="shared" si="3"/>
        <v>15</v>
      </c>
      <c r="M88">
        <f>_xlfn.XLOOKUP(J88,Capacities!$A$2:$A$15,Capacities!$B$2:$B$15)</f>
        <v>8006</v>
      </c>
      <c r="N88">
        <f t="shared" si="4"/>
        <v>0.67287034723957029</v>
      </c>
    </row>
    <row r="89" spans="1:14" x14ac:dyDescent="0.35">
      <c r="A89" t="s">
        <v>74</v>
      </c>
      <c r="B89">
        <v>16</v>
      </c>
      <c r="C89" t="s">
        <v>15</v>
      </c>
      <c r="D89" s="5">
        <v>44877</v>
      </c>
      <c r="E89" s="8">
        <v>0.52083333333333337</v>
      </c>
      <c r="F89" t="s">
        <v>39</v>
      </c>
      <c r="G89" t="s">
        <v>21</v>
      </c>
      <c r="H89" t="s">
        <v>34</v>
      </c>
      <c r="I89" s="7">
        <v>6358</v>
      </c>
      <c r="J89" t="s">
        <v>46</v>
      </c>
      <c r="K89">
        <v>2023</v>
      </c>
      <c r="L89" s="1">
        <f t="shared" si="3"/>
        <v>16</v>
      </c>
      <c r="M89">
        <f>_xlfn.XLOOKUP(J89,Capacities!$A$2:$A$15,Capacities!$B$2:$B$15)</f>
        <v>8006</v>
      </c>
      <c r="N89">
        <f t="shared" si="4"/>
        <v>0.79415438421184115</v>
      </c>
    </row>
    <row r="90" spans="1:14" x14ac:dyDescent="0.35">
      <c r="A90" t="s">
        <v>74</v>
      </c>
      <c r="B90">
        <v>16</v>
      </c>
      <c r="C90" t="s">
        <v>15</v>
      </c>
      <c r="D90" s="5">
        <v>44877</v>
      </c>
      <c r="E90" s="8">
        <v>0.625</v>
      </c>
      <c r="F90" t="s">
        <v>16</v>
      </c>
      <c r="G90" t="s">
        <v>45</v>
      </c>
      <c r="H90" t="s">
        <v>18</v>
      </c>
      <c r="I90" s="7">
        <v>58391</v>
      </c>
      <c r="J90" t="s">
        <v>19</v>
      </c>
      <c r="K90">
        <v>2023</v>
      </c>
      <c r="L90" s="1">
        <f t="shared" si="3"/>
        <v>16</v>
      </c>
      <c r="M90">
        <f>_xlfn.XLOOKUP(J90,Capacities!$A$2:$A$15,Capacities!$B$2:$B$15)</f>
        <v>60500</v>
      </c>
      <c r="N90">
        <f t="shared" si="4"/>
        <v>0.96514049586776862</v>
      </c>
    </row>
    <row r="91" spans="1:14" x14ac:dyDescent="0.35">
      <c r="A91" t="s">
        <v>74</v>
      </c>
      <c r="B91">
        <v>16</v>
      </c>
      <c r="C91" t="s">
        <v>15</v>
      </c>
      <c r="D91" s="5">
        <v>44877</v>
      </c>
      <c r="E91" s="8">
        <v>0.625</v>
      </c>
      <c r="F91" t="s">
        <v>26</v>
      </c>
      <c r="G91" t="s">
        <v>21</v>
      </c>
      <c r="H91" t="s">
        <v>28</v>
      </c>
      <c r="I91" s="7">
        <v>18448</v>
      </c>
      <c r="J91" t="s">
        <v>50</v>
      </c>
      <c r="K91">
        <v>2023</v>
      </c>
      <c r="L91" s="1">
        <f t="shared" si="3"/>
        <v>16</v>
      </c>
      <c r="M91">
        <f>_xlfn.XLOOKUP(J91,Capacities!$A$2:$A$15,Capacities!$B$2:$B$15)</f>
        <v>19852</v>
      </c>
      <c r="N91">
        <f t="shared" si="4"/>
        <v>0.92927664718920011</v>
      </c>
    </row>
    <row r="92" spans="1:14" x14ac:dyDescent="0.35">
      <c r="A92" t="s">
        <v>74</v>
      </c>
      <c r="B92">
        <v>16</v>
      </c>
      <c r="C92" t="s">
        <v>15</v>
      </c>
      <c r="D92" s="5">
        <v>44877</v>
      </c>
      <c r="E92" s="8">
        <v>0.625</v>
      </c>
      <c r="F92" t="s">
        <v>32</v>
      </c>
      <c r="G92" t="s">
        <v>33</v>
      </c>
      <c r="H92" t="s">
        <v>37</v>
      </c>
      <c r="I92" s="7">
        <v>6391</v>
      </c>
      <c r="J92" t="s">
        <v>35</v>
      </c>
      <c r="K92">
        <v>2023</v>
      </c>
      <c r="L92" s="1">
        <f t="shared" si="3"/>
        <v>16</v>
      </c>
      <c r="M92">
        <f>_xlfn.XLOOKUP(J92,Capacities!$A$2:$A$15,Capacities!$B$2:$B$15)</f>
        <v>18128</v>
      </c>
      <c r="N92">
        <f t="shared" si="4"/>
        <v>0.35254854368932037</v>
      </c>
    </row>
    <row r="93" spans="1:14" x14ac:dyDescent="0.35">
      <c r="A93" t="s">
        <v>74</v>
      </c>
      <c r="B93">
        <v>16</v>
      </c>
      <c r="C93" t="s">
        <v>15</v>
      </c>
      <c r="D93" s="5">
        <v>44877</v>
      </c>
      <c r="E93" s="8">
        <v>0.625</v>
      </c>
      <c r="F93" t="s">
        <v>24</v>
      </c>
      <c r="G93" t="s">
        <v>21</v>
      </c>
      <c r="H93" t="s">
        <v>22</v>
      </c>
      <c r="I93" s="7">
        <v>4055</v>
      </c>
      <c r="J93" t="s">
        <v>27</v>
      </c>
      <c r="K93">
        <v>2023</v>
      </c>
      <c r="L93" s="1">
        <f t="shared" si="3"/>
        <v>16</v>
      </c>
      <c r="M93">
        <f>_xlfn.XLOOKUP(J93,Capacities!$A$2:$A$15,Capacities!$B$2:$B$15)</f>
        <v>10700</v>
      </c>
      <c r="N93">
        <f t="shared" si="4"/>
        <v>0.37897196261682242</v>
      </c>
    </row>
    <row r="94" spans="1:14" x14ac:dyDescent="0.35">
      <c r="A94" t="s">
        <v>74</v>
      </c>
      <c r="B94">
        <v>16</v>
      </c>
      <c r="C94" t="s">
        <v>15</v>
      </c>
      <c r="D94" s="5">
        <v>44877</v>
      </c>
      <c r="E94" s="8">
        <v>0.75</v>
      </c>
      <c r="F94" t="s">
        <v>30</v>
      </c>
      <c r="G94" t="s">
        <v>33</v>
      </c>
      <c r="H94" t="s">
        <v>75</v>
      </c>
      <c r="I94" s="7">
        <v>17035</v>
      </c>
      <c r="J94" t="s">
        <v>48</v>
      </c>
      <c r="K94">
        <v>2023</v>
      </c>
      <c r="L94" s="1">
        <f t="shared" si="3"/>
        <v>16</v>
      </c>
      <c r="M94">
        <f>_xlfn.XLOOKUP(J94,Capacities!$A$2:$A$15,Capacities!$B$2:$B$15)</f>
        <v>21412</v>
      </c>
      <c r="N94">
        <f t="shared" si="4"/>
        <v>0.79558191668223421</v>
      </c>
    </row>
    <row r="95" spans="1:14" x14ac:dyDescent="0.35">
      <c r="A95" t="s">
        <v>74</v>
      </c>
      <c r="B95">
        <v>17</v>
      </c>
      <c r="C95" t="s">
        <v>81</v>
      </c>
      <c r="D95" s="5">
        <v>44910</v>
      </c>
      <c r="E95" s="8">
        <v>0.83333333333333337</v>
      </c>
      <c r="F95" t="s">
        <v>34</v>
      </c>
      <c r="G95" t="s">
        <v>65</v>
      </c>
      <c r="H95" t="s">
        <v>37</v>
      </c>
      <c r="I95" s="7">
        <v>48671</v>
      </c>
      <c r="J95" t="s">
        <v>42</v>
      </c>
      <c r="K95">
        <v>2023</v>
      </c>
      <c r="L95" s="1">
        <f t="shared" si="3"/>
        <v>17</v>
      </c>
      <c r="M95">
        <f>_xlfn.XLOOKUP(J95,Capacities!$A$2:$A$15,Capacities!$B$2:$B$15)</f>
        <v>51082</v>
      </c>
      <c r="N95">
        <f t="shared" si="4"/>
        <v>0.95280137817626565</v>
      </c>
    </row>
    <row r="96" spans="1:14" x14ac:dyDescent="0.35">
      <c r="A96" t="s">
        <v>74</v>
      </c>
      <c r="B96">
        <v>17</v>
      </c>
      <c r="C96" t="s">
        <v>15</v>
      </c>
      <c r="D96" s="5">
        <v>44912</v>
      </c>
      <c r="E96" s="8">
        <v>0.52083333333333337</v>
      </c>
      <c r="F96" t="s">
        <v>30</v>
      </c>
      <c r="G96" t="s">
        <v>52</v>
      </c>
      <c r="H96" t="s">
        <v>16</v>
      </c>
      <c r="I96" s="7">
        <v>15567</v>
      </c>
      <c r="J96" t="s">
        <v>48</v>
      </c>
      <c r="K96">
        <v>2023</v>
      </c>
      <c r="L96" s="1">
        <f t="shared" si="3"/>
        <v>17</v>
      </c>
      <c r="M96">
        <f>_xlfn.XLOOKUP(J96,Capacities!$A$2:$A$15,Capacities!$B$2:$B$15)</f>
        <v>21412</v>
      </c>
      <c r="N96">
        <f t="shared" si="4"/>
        <v>0.72702223052493931</v>
      </c>
    </row>
    <row r="97" spans="1:14" x14ac:dyDescent="0.35">
      <c r="A97" t="s">
        <v>74</v>
      </c>
      <c r="B97">
        <v>17</v>
      </c>
      <c r="C97" t="s">
        <v>15</v>
      </c>
      <c r="D97" s="5">
        <v>44912</v>
      </c>
      <c r="E97" s="8">
        <v>0.625</v>
      </c>
      <c r="F97" t="s">
        <v>26</v>
      </c>
      <c r="G97" t="s">
        <v>56</v>
      </c>
      <c r="H97" t="s">
        <v>32</v>
      </c>
      <c r="I97" s="7">
        <v>18645</v>
      </c>
      <c r="J97" t="s">
        <v>50</v>
      </c>
      <c r="K97">
        <v>2023</v>
      </c>
      <c r="L97" s="1">
        <f t="shared" si="3"/>
        <v>17</v>
      </c>
      <c r="M97">
        <f>_xlfn.XLOOKUP(J97,Capacities!$A$2:$A$15,Capacities!$B$2:$B$15)</f>
        <v>19852</v>
      </c>
      <c r="N97">
        <f t="shared" si="4"/>
        <v>0.93920008059641347</v>
      </c>
    </row>
    <row r="98" spans="1:14" x14ac:dyDescent="0.35">
      <c r="A98" t="s">
        <v>74</v>
      </c>
      <c r="B98">
        <v>17</v>
      </c>
      <c r="C98" t="s">
        <v>15</v>
      </c>
      <c r="D98" s="5">
        <v>44912</v>
      </c>
      <c r="E98" s="8">
        <v>0.625</v>
      </c>
      <c r="F98" t="s">
        <v>18</v>
      </c>
      <c r="G98" t="s">
        <v>55</v>
      </c>
      <c r="H98" t="s">
        <v>24</v>
      </c>
      <c r="I98" s="7">
        <v>4393</v>
      </c>
      <c r="J98" t="s">
        <v>44</v>
      </c>
      <c r="K98">
        <v>2023</v>
      </c>
      <c r="L98" s="1">
        <f t="shared" ref="L98:L129" si="5">B98</f>
        <v>17</v>
      </c>
      <c r="M98">
        <f>_xlfn.XLOOKUP(J98,Capacities!$A$2:$A$15,Capacities!$B$2:$B$15)</f>
        <v>6541</v>
      </c>
      <c r="N98">
        <f t="shared" si="4"/>
        <v>0.67160984558935943</v>
      </c>
    </row>
    <row r="99" spans="1:14" x14ac:dyDescent="0.35">
      <c r="A99" t="s">
        <v>74</v>
      </c>
      <c r="B99">
        <v>7</v>
      </c>
      <c r="C99" t="s">
        <v>58</v>
      </c>
      <c r="D99" s="5">
        <v>44915</v>
      </c>
      <c r="E99" s="8">
        <v>0.83333333333333337</v>
      </c>
      <c r="F99" t="s">
        <v>30</v>
      </c>
      <c r="G99" t="s">
        <v>38</v>
      </c>
      <c r="H99" t="s">
        <v>34</v>
      </c>
      <c r="I99" s="7">
        <v>18025</v>
      </c>
      <c r="J99" t="s">
        <v>48</v>
      </c>
      <c r="K99">
        <v>2023</v>
      </c>
      <c r="L99" s="1">
        <f t="shared" si="5"/>
        <v>7</v>
      </c>
      <c r="M99">
        <f>_xlfn.XLOOKUP(J99,Capacities!$A$2:$A$15,Capacities!$B$2:$B$15)</f>
        <v>21412</v>
      </c>
      <c r="N99">
        <f t="shared" si="4"/>
        <v>0.84181767233327109</v>
      </c>
    </row>
    <row r="100" spans="1:14" x14ac:dyDescent="0.35">
      <c r="A100" t="s">
        <v>74</v>
      </c>
      <c r="B100">
        <v>7</v>
      </c>
      <c r="C100" t="s">
        <v>60</v>
      </c>
      <c r="D100" s="5">
        <v>44916</v>
      </c>
      <c r="E100" s="8">
        <v>0.82291666666666663</v>
      </c>
      <c r="F100" t="s">
        <v>16</v>
      </c>
      <c r="G100" t="s">
        <v>45</v>
      </c>
      <c r="H100" t="s">
        <v>28</v>
      </c>
      <c r="I100" s="7">
        <v>58499</v>
      </c>
      <c r="J100" t="s">
        <v>19</v>
      </c>
      <c r="K100">
        <v>2023</v>
      </c>
      <c r="L100" s="1">
        <f t="shared" si="5"/>
        <v>7</v>
      </c>
      <c r="M100">
        <f>_xlfn.XLOOKUP(J100,Capacities!$A$2:$A$15,Capacities!$B$2:$B$15)</f>
        <v>60500</v>
      </c>
      <c r="N100">
        <f t="shared" si="4"/>
        <v>0.9669256198347107</v>
      </c>
    </row>
    <row r="101" spans="1:14" x14ac:dyDescent="0.35">
      <c r="A101" t="s">
        <v>74</v>
      </c>
      <c r="B101">
        <v>18</v>
      </c>
      <c r="C101" t="s">
        <v>79</v>
      </c>
      <c r="D101" s="5">
        <v>44918</v>
      </c>
      <c r="E101" s="8">
        <v>0.8125</v>
      </c>
      <c r="F101" t="s">
        <v>18</v>
      </c>
      <c r="G101" t="s">
        <v>52</v>
      </c>
      <c r="H101" t="s">
        <v>34</v>
      </c>
      <c r="I101" s="7">
        <v>6051</v>
      </c>
      <c r="J101" t="s">
        <v>44</v>
      </c>
      <c r="K101">
        <v>2023</v>
      </c>
      <c r="L101" s="1">
        <f t="shared" si="5"/>
        <v>18</v>
      </c>
      <c r="M101">
        <f>_xlfn.XLOOKUP(J101,Capacities!$A$2:$A$15,Capacities!$B$2:$B$15)</f>
        <v>6541</v>
      </c>
      <c r="N101">
        <f t="shared" si="4"/>
        <v>0.92508790704785204</v>
      </c>
    </row>
    <row r="102" spans="1:14" x14ac:dyDescent="0.35">
      <c r="A102" t="s">
        <v>74</v>
      </c>
      <c r="B102">
        <v>18</v>
      </c>
      <c r="C102" t="s">
        <v>79</v>
      </c>
      <c r="D102" s="5">
        <v>44918</v>
      </c>
      <c r="E102" s="8">
        <v>0.82291666666666663</v>
      </c>
      <c r="F102" t="s">
        <v>22</v>
      </c>
      <c r="G102" t="s">
        <v>51</v>
      </c>
      <c r="H102" t="s">
        <v>32</v>
      </c>
      <c r="I102" s="7">
        <v>4861</v>
      </c>
      <c r="J102" t="s">
        <v>49</v>
      </c>
      <c r="K102">
        <v>2023</v>
      </c>
      <c r="L102" s="1">
        <f t="shared" si="5"/>
        <v>18</v>
      </c>
      <c r="M102">
        <f>_xlfn.XLOOKUP(J102,Capacities!$A$2:$A$15,Capacities!$B$2:$B$15)</f>
        <v>13750</v>
      </c>
      <c r="N102">
        <f t="shared" si="4"/>
        <v>0.35352727272727275</v>
      </c>
    </row>
    <row r="103" spans="1:14" x14ac:dyDescent="0.35">
      <c r="A103" t="s">
        <v>74</v>
      </c>
      <c r="B103">
        <v>18</v>
      </c>
      <c r="C103" t="s">
        <v>15</v>
      </c>
      <c r="D103" s="5">
        <v>44919</v>
      </c>
      <c r="E103" s="8">
        <v>0.52083333333333337</v>
      </c>
      <c r="F103" t="s">
        <v>16</v>
      </c>
      <c r="G103" t="s">
        <v>64</v>
      </c>
      <c r="H103" t="s">
        <v>24</v>
      </c>
      <c r="I103" s="7">
        <v>58635</v>
      </c>
      <c r="J103" t="s">
        <v>19</v>
      </c>
      <c r="K103">
        <v>2023</v>
      </c>
      <c r="L103" s="1">
        <f t="shared" si="5"/>
        <v>18</v>
      </c>
      <c r="M103">
        <f>_xlfn.XLOOKUP(J103,Capacities!$A$2:$A$15,Capacities!$B$2:$B$15)</f>
        <v>60500</v>
      </c>
      <c r="N103">
        <f t="shared" si="4"/>
        <v>0.96917355371900826</v>
      </c>
    </row>
    <row r="104" spans="1:14" x14ac:dyDescent="0.35">
      <c r="A104" t="s">
        <v>74</v>
      </c>
      <c r="B104">
        <v>18</v>
      </c>
      <c r="C104" t="s">
        <v>15</v>
      </c>
      <c r="D104" s="5">
        <v>44919</v>
      </c>
      <c r="E104" s="8">
        <v>0.52083333333333337</v>
      </c>
      <c r="F104" t="s">
        <v>39</v>
      </c>
      <c r="G104" t="s">
        <v>56</v>
      </c>
      <c r="H104" t="s">
        <v>30</v>
      </c>
      <c r="I104" s="7">
        <v>7394</v>
      </c>
      <c r="J104" t="s">
        <v>46</v>
      </c>
      <c r="K104">
        <v>2023</v>
      </c>
      <c r="L104" s="1">
        <f t="shared" si="5"/>
        <v>18</v>
      </c>
      <c r="M104">
        <f>_xlfn.XLOOKUP(J104,Capacities!$A$2:$A$15,Capacities!$B$2:$B$15)</f>
        <v>8006</v>
      </c>
      <c r="N104">
        <f t="shared" si="4"/>
        <v>0.92355733200099921</v>
      </c>
    </row>
    <row r="105" spans="1:14" x14ac:dyDescent="0.35">
      <c r="A105" t="s">
        <v>74</v>
      </c>
      <c r="B105">
        <v>18</v>
      </c>
      <c r="C105" t="s">
        <v>15</v>
      </c>
      <c r="D105" s="5">
        <v>44919</v>
      </c>
      <c r="E105" s="8">
        <v>0.58333333333333337</v>
      </c>
      <c r="F105" t="s">
        <v>75</v>
      </c>
      <c r="G105" t="s">
        <v>51</v>
      </c>
      <c r="H105" t="s">
        <v>26</v>
      </c>
      <c r="I105" s="7">
        <v>10224</v>
      </c>
      <c r="J105" t="s">
        <v>76</v>
      </c>
      <c r="K105">
        <v>2023</v>
      </c>
      <c r="L105" s="1">
        <f t="shared" si="5"/>
        <v>18</v>
      </c>
      <c r="M105">
        <f>_xlfn.XLOOKUP(J105,Capacities!$A$2:$A$15,Capacities!$B$2:$B$15)</f>
        <v>14223</v>
      </c>
      <c r="N105">
        <f t="shared" si="4"/>
        <v>0.71883568867327563</v>
      </c>
    </row>
    <row r="106" spans="1:14" x14ac:dyDescent="0.35">
      <c r="A106" t="s">
        <v>74</v>
      </c>
      <c r="B106">
        <v>18</v>
      </c>
      <c r="C106" t="s">
        <v>15</v>
      </c>
      <c r="D106" s="5">
        <v>44919</v>
      </c>
      <c r="E106" s="8">
        <v>0.58333333333333337</v>
      </c>
      <c r="F106" t="s">
        <v>37</v>
      </c>
      <c r="G106" t="s">
        <v>41</v>
      </c>
      <c r="H106" t="s">
        <v>28</v>
      </c>
      <c r="I106" s="7">
        <v>15260</v>
      </c>
      <c r="J106" t="s">
        <v>40</v>
      </c>
      <c r="K106">
        <v>2023</v>
      </c>
      <c r="L106" s="1">
        <f t="shared" si="5"/>
        <v>18</v>
      </c>
      <c r="M106">
        <f>_xlfn.XLOOKUP(J106,Capacities!$A$2:$A$15,Capacities!$B$2:$B$15)</f>
        <v>20250</v>
      </c>
      <c r="N106">
        <f t="shared" si="4"/>
        <v>0.75358024691358028</v>
      </c>
    </row>
    <row r="107" spans="1:14" x14ac:dyDescent="0.35">
      <c r="A107" t="s">
        <v>74</v>
      </c>
      <c r="B107">
        <v>19</v>
      </c>
      <c r="C107" t="s">
        <v>60</v>
      </c>
      <c r="D107" s="5">
        <v>44923</v>
      </c>
      <c r="E107" s="8">
        <v>0.82291666666666663</v>
      </c>
      <c r="F107" t="s">
        <v>75</v>
      </c>
      <c r="G107" t="s">
        <v>53</v>
      </c>
      <c r="H107" t="s">
        <v>18</v>
      </c>
      <c r="I107" s="7">
        <v>8249</v>
      </c>
      <c r="J107" t="s">
        <v>76</v>
      </c>
      <c r="K107">
        <v>2023</v>
      </c>
      <c r="L107" s="1">
        <f t="shared" si="5"/>
        <v>19</v>
      </c>
      <c r="M107">
        <f>_xlfn.XLOOKUP(J107,Capacities!$A$2:$A$15,Capacities!$B$2:$B$15)</f>
        <v>14223</v>
      </c>
      <c r="N107">
        <f t="shared" si="4"/>
        <v>0.57997609505730152</v>
      </c>
    </row>
    <row r="108" spans="1:14" x14ac:dyDescent="0.35">
      <c r="A108" t="s">
        <v>74</v>
      </c>
      <c r="B108">
        <v>19</v>
      </c>
      <c r="C108" t="s">
        <v>60</v>
      </c>
      <c r="D108" s="5">
        <v>44923</v>
      </c>
      <c r="E108" s="8">
        <v>0.82291666666666663</v>
      </c>
      <c r="F108" t="s">
        <v>32</v>
      </c>
      <c r="G108" t="s">
        <v>45</v>
      </c>
      <c r="H108" t="s">
        <v>30</v>
      </c>
      <c r="I108" s="7">
        <v>6171</v>
      </c>
      <c r="J108" t="s">
        <v>35</v>
      </c>
      <c r="K108">
        <v>2023</v>
      </c>
      <c r="L108" s="1">
        <f t="shared" si="5"/>
        <v>19</v>
      </c>
      <c r="M108">
        <f>_xlfn.XLOOKUP(J108,Capacities!$A$2:$A$15,Capacities!$B$2:$B$15)</f>
        <v>18128</v>
      </c>
      <c r="N108">
        <f t="shared" si="4"/>
        <v>0.34041262135922329</v>
      </c>
    </row>
    <row r="109" spans="1:14" x14ac:dyDescent="0.35">
      <c r="A109" t="s">
        <v>74</v>
      </c>
      <c r="B109">
        <v>19</v>
      </c>
      <c r="C109" t="s">
        <v>60</v>
      </c>
      <c r="D109" s="5">
        <v>44923</v>
      </c>
      <c r="E109" s="8">
        <v>0.82291666666666663</v>
      </c>
      <c r="F109" t="s">
        <v>28</v>
      </c>
      <c r="G109" t="s">
        <v>21</v>
      </c>
      <c r="H109" t="s">
        <v>39</v>
      </c>
      <c r="I109" s="7">
        <v>1897</v>
      </c>
      <c r="J109" t="s">
        <v>31</v>
      </c>
      <c r="K109">
        <v>2023</v>
      </c>
      <c r="L109" s="1">
        <f t="shared" si="5"/>
        <v>19</v>
      </c>
      <c r="M109">
        <f>_xlfn.XLOOKUP(J109,Capacities!$A$2:$A$15,Capacities!$B$2:$B$15)</f>
        <v>9672</v>
      </c>
      <c r="N109">
        <f t="shared" si="4"/>
        <v>0.19613316790736146</v>
      </c>
    </row>
    <row r="110" spans="1:14" x14ac:dyDescent="0.35">
      <c r="A110" t="s">
        <v>74</v>
      </c>
      <c r="B110">
        <v>19</v>
      </c>
      <c r="C110" t="s">
        <v>60</v>
      </c>
      <c r="D110" s="5">
        <v>44923</v>
      </c>
      <c r="E110" s="8">
        <v>0.82291666666666663</v>
      </c>
      <c r="F110" t="s">
        <v>34</v>
      </c>
      <c r="G110" t="s">
        <v>53</v>
      </c>
      <c r="H110" t="s">
        <v>22</v>
      </c>
      <c r="I110" s="7">
        <v>49605</v>
      </c>
      <c r="J110" t="s">
        <v>42</v>
      </c>
      <c r="K110">
        <v>2023</v>
      </c>
      <c r="L110" s="1">
        <f t="shared" si="5"/>
        <v>19</v>
      </c>
      <c r="M110">
        <f>_xlfn.XLOOKUP(J110,Capacities!$A$2:$A$15,Capacities!$B$2:$B$15)</f>
        <v>51082</v>
      </c>
      <c r="N110">
        <f t="shared" si="4"/>
        <v>0.97108570533651772</v>
      </c>
    </row>
    <row r="111" spans="1:14" x14ac:dyDescent="0.35">
      <c r="A111" t="s">
        <v>74</v>
      </c>
      <c r="B111">
        <v>19</v>
      </c>
      <c r="C111" t="s">
        <v>60</v>
      </c>
      <c r="D111" s="5">
        <v>44923</v>
      </c>
      <c r="E111" s="8">
        <v>0.82291666666666663</v>
      </c>
      <c r="F111" t="s">
        <v>24</v>
      </c>
      <c r="G111" t="s">
        <v>38</v>
      </c>
      <c r="H111" t="s">
        <v>26</v>
      </c>
      <c r="I111" s="7">
        <v>7058</v>
      </c>
      <c r="J111" t="s">
        <v>27</v>
      </c>
      <c r="K111">
        <v>2023</v>
      </c>
      <c r="L111" s="1">
        <f t="shared" si="5"/>
        <v>19</v>
      </c>
      <c r="M111">
        <f>_xlfn.XLOOKUP(J111,Capacities!$A$2:$A$15,Capacities!$B$2:$B$15)</f>
        <v>10700</v>
      </c>
      <c r="N111">
        <f t="shared" si="4"/>
        <v>0.65962616822429909</v>
      </c>
    </row>
    <row r="112" spans="1:14" x14ac:dyDescent="0.35">
      <c r="A112" t="s">
        <v>74</v>
      </c>
      <c r="B112">
        <v>19</v>
      </c>
      <c r="C112" t="s">
        <v>60</v>
      </c>
      <c r="D112" s="5">
        <v>44923</v>
      </c>
      <c r="E112" s="8">
        <v>0.83333333333333337</v>
      </c>
      <c r="F112" t="s">
        <v>37</v>
      </c>
      <c r="G112" t="s">
        <v>72</v>
      </c>
      <c r="H112" t="s">
        <v>16</v>
      </c>
      <c r="I112" s="7">
        <v>19730</v>
      </c>
      <c r="J112" t="s">
        <v>40</v>
      </c>
      <c r="K112">
        <v>2023</v>
      </c>
      <c r="L112" s="1">
        <f t="shared" si="5"/>
        <v>19</v>
      </c>
      <c r="M112">
        <f>_xlfn.XLOOKUP(J112,Capacities!$A$2:$A$15,Capacities!$B$2:$B$15)</f>
        <v>20250</v>
      </c>
      <c r="N112">
        <f t="shared" si="4"/>
        <v>0.97432098765432096</v>
      </c>
    </row>
    <row r="113" spans="1:14" x14ac:dyDescent="0.35">
      <c r="A113" t="s">
        <v>74</v>
      </c>
      <c r="B113">
        <v>20</v>
      </c>
      <c r="C113" t="s">
        <v>82</v>
      </c>
      <c r="D113" s="5">
        <v>44928</v>
      </c>
      <c r="E113" s="8">
        <v>0.52083333333333337</v>
      </c>
      <c r="F113" t="s">
        <v>34</v>
      </c>
      <c r="G113" t="s">
        <v>51</v>
      </c>
      <c r="H113" t="s">
        <v>16</v>
      </c>
      <c r="I113" s="7">
        <v>50066</v>
      </c>
      <c r="J113" t="s">
        <v>42</v>
      </c>
      <c r="K113">
        <v>2023</v>
      </c>
      <c r="L113" s="1">
        <f t="shared" si="5"/>
        <v>20</v>
      </c>
      <c r="M113">
        <f>_xlfn.XLOOKUP(J113,Capacities!$A$2:$A$15,Capacities!$B$2:$B$15)</f>
        <v>51082</v>
      </c>
      <c r="N113">
        <f t="shared" si="4"/>
        <v>0.9801104107121883</v>
      </c>
    </row>
    <row r="114" spans="1:14" x14ac:dyDescent="0.35">
      <c r="A114" t="s">
        <v>74</v>
      </c>
      <c r="B114">
        <v>20</v>
      </c>
      <c r="C114" t="s">
        <v>82</v>
      </c>
      <c r="D114" s="5">
        <v>44928</v>
      </c>
      <c r="E114" s="8">
        <v>0.625</v>
      </c>
      <c r="F114" t="s">
        <v>30</v>
      </c>
      <c r="G114" t="s">
        <v>29</v>
      </c>
      <c r="H114" t="s">
        <v>18</v>
      </c>
      <c r="I114" s="7">
        <v>14356</v>
      </c>
      <c r="J114" t="s">
        <v>48</v>
      </c>
      <c r="K114">
        <v>2023</v>
      </c>
      <c r="L114" s="1">
        <f t="shared" si="5"/>
        <v>20</v>
      </c>
      <c r="M114">
        <f>_xlfn.XLOOKUP(J114,Capacities!$A$2:$A$15,Capacities!$B$2:$B$15)</f>
        <v>21412</v>
      </c>
      <c r="N114">
        <f t="shared" si="4"/>
        <v>0.6704651597235195</v>
      </c>
    </row>
    <row r="115" spans="1:14" x14ac:dyDescent="0.35">
      <c r="A115" t="s">
        <v>74</v>
      </c>
      <c r="B115">
        <v>20</v>
      </c>
      <c r="C115" t="s">
        <v>82</v>
      </c>
      <c r="D115" s="5">
        <v>44928</v>
      </c>
      <c r="E115" s="8">
        <v>0.625</v>
      </c>
      <c r="F115" t="s">
        <v>26</v>
      </c>
      <c r="G115" t="s">
        <v>53</v>
      </c>
      <c r="H115" t="s">
        <v>37</v>
      </c>
      <c r="I115" s="7">
        <v>18980</v>
      </c>
      <c r="J115" t="s">
        <v>50</v>
      </c>
      <c r="K115">
        <v>2023</v>
      </c>
      <c r="L115" s="1">
        <f t="shared" si="5"/>
        <v>20</v>
      </c>
      <c r="M115">
        <f>_xlfn.XLOOKUP(J115,Capacities!$A$2:$A$15,Capacities!$B$2:$B$15)</f>
        <v>19852</v>
      </c>
      <c r="N115">
        <f t="shared" si="4"/>
        <v>0.95607495466451742</v>
      </c>
    </row>
    <row r="116" spans="1:14" x14ac:dyDescent="0.35">
      <c r="A116" t="s">
        <v>74</v>
      </c>
      <c r="B116">
        <v>20</v>
      </c>
      <c r="C116" t="s">
        <v>82</v>
      </c>
      <c r="D116" s="5">
        <v>44928</v>
      </c>
      <c r="E116" s="8">
        <v>0.625</v>
      </c>
      <c r="F116" t="s">
        <v>32</v>
      </c>
      <c r="G116" t="s">
        <v>29</v>
      </c>
      <c r="H116" t="s">
        <v>39</v>
      </c>
      <c r="I116" s="7">
        <v>7008</v>
      </c>
      <c r="J116" t="s">
        <v>35</v>
      </c>
      <c r="K116">
        <v>2023</v>
      </c>
      <c r="L116" s="1">
        <f t="shared" si="5"/>
        <v>20</v>
      </c>
      <c r="M116">
        <f>_xlfn.XLOOKUP(J116,Capacities!$A$2:$A$15,Capacities!$B$2:$B$15)</f>
        <v>18128</v>
      </c>
      <c r="N116">
        <f t="shared" si="4"/>
        <v>0.38658428949691087</v>
      </c>
    </row>
    <row r="117" spans="1:14" x14ac:dyDescent="0.35">
      <c r="A117" t="s">
        <v>74</v>
      </c>
      <c r="B117">
        <v>20</v>
      </c>
      <c r="C117" t="s">
        <v>82</v>
      </c>
      <c r="D117" s="5">
        <v>44928</v>
      </c>
      <c r="E117" s="8">
        <v>0.625</v>
      </c>
      <c r="F117" t="s">
        <v>28</v>
      </c>
      <c r="G117" t="s">
        <v>21</v>
      </c>
      <c r="H117" t="s">
        <v>22</v>
      </c>
      <c r="I117" s="7">
        <v>2163</v>
      </c>
      <c r="J117" t="s">
        <v>31</v>
      </c>
      <c r="K117">
        <v>2023</v>
      </c>
      <c r="L117" s="1">
        <f t="shared" si="5"/>
        <v>20</v>
      </c>
      <c r="M117">
        <f>_xlfn.XLOOKUP(J117,Capacities!$A$2:$A$15,Capacities!$B$2:$B$15)</f>
        <v>9672</v>
      </c>
      <c r="N117">
        <f t="shared" si="4"/>
        <v>0.22363523573200991</v>
      </c>
    </row>
    <row r="118" spans="1:14" x14ac:dyDescent="0.35">
      <c r="A118" t="s">
        <v>74</v>
      </c>
      <c r="B118">
        <v>20</v>
      </c>
      <c r="C118" t="s">
        <v>82</v>
      </c>
      <c r="D118" s="5">
        <v>44928</v>
      </c>
      <c r="E118" s="8">
        <v>0.625</v>
      </c>
      <c r="F118" t="s">
        <v>24</v>
      </c>
      <c r="G118" t="s">
        <v>52</v>
      </c>
      <c r="H118" t="s">
        <v>75</v>
      </c>
      <c r="I118" s="7">
        <v>7116</v>
      </c>
      <c r="J118" t="s">
        <v>27</v>
      </c>
      <c r="K118">
        <v>2023</v>
      </c>
      <c r="L118" s="1">
        <f t="shared" si="5"/>
        <v>20</v>
      </c>
      <c r="M118">
        <f>_xlfn.XLOOKUP(J118,Capacities!$A$2:$A$15,Capacities!$B$2:$B$15)</f>
        <v>10700</v>
      </c>
      <c r="N118">
        <f t="shared" si="4"/>
        <v>0.6650467289719626</v>
      </c>
    </row>
    <row r="119" spans="1:14" x14ac:dyDescent="0.35">
      <c r="A119" t="s">
        <v>74</v>
      </c>
      <c r="B119">
        <v>21</v>
      </c>
      <c r="C119" t="s">
        <v>15</v>
      </c>
      <c r="D119" s="5">
        <v>44933</v>
      </c>
      <c r="E119" s="8">
        <v>0.625</v>
      </c>
      <c r="F119" t="s">
        <v>30</v>
      </c>
      <c r="G119" t="s">
        <v>43</v>
      </c>
      <c r="H119" t="s">
        <v>24</v>
      </c>
      <c r="I119" s="7">
        <v>14202</v>
      </c>
      <c r="J119" t="s">
        <v>48</v>
      </c>
      <c r="K119">
        <v>2023</v>
      </c>
      <c r="L119" s="1">
        <f t="shared" si="5"/>
        <v>21</v>
      </c>
      <c r="M119">
        <f>_xlfn.XLOOKUP(J119,Capacities!$A$2:$A$15,Capacities!$B$2:$B$15)</f>
        <v>21412</v>
      </c>
      <c r="N119">
        <f t="shared" si="4"/>
        <v>0.66327293106669161</v>
      </c>
    </row>
    <row r="120" spans="1:14" x14ac:dyDescent="0.35">
      <c r="A120" t="s">
        <v>74</v>
      </c>
      <c r="B120">
        <v>21</v>
      </c>
      <c r="C120" t="s">
        <v>15</v>
      </c>
      <c r="D120" s="5">
        <v>44933</v>
      </c>
      <c r="E120" s="8">
        <v>0.625</v>
      </c>
      <c r="F120" t="s">
        <v>16</v>
      </c>
      <c r="G120" t="s">
        <v>43</v>
      </c>
      <c r="H120" t="s">
        <v>32</v>
      </c>
      <c r="I120" s="7">
        <v>58612</v>
      </c>
      <c r="J120" t="s">
        <v>19</v>
      </c>
      <c r="K120">
        <v>2023</v>
      </c>
      <c r="L120" s="1">
        <f t="shared" si="5"/>
        <v>21</v>
      </c>
      <c r="M120">
        <f>_xlfn.XLOOKUP(J120,Capacities!$A$2:$A$15,Capacities!$B$2:$B$15)</f>
        <v>60500</v>
      </c>
      <c r="N120">
        <f t="shared" si="4"/>
        <v>0.96879338842975204</v>
      </c>
    </row>
    <row r="121" spans="1:14" x14ac:dyDescent="0.35">
      <c r="A121" t="s">
        <v>74</v>
      </c>
      <c r="B121">
        <v>21</v>
      </c>
      <c r="C121" t="s">
        <v>15</v>
      </c>
      <c r="D121" s="5">
        <v>44933</v>
      </c>
      <c r="E121" s="8">
        <v>0.625</v>
      </c>
      <c r="F121" t="s">
        <v>18</v>
      </c>
      <c r="G121" t="s">
        <v>25</v>
      </c>
      <c r="H121" t="s">
        <v>28</v>
      </c>
      <c r="I121" s="7">
        <v>3083</v>
      </c>
      <c r="J121" t="s">
        <v>44</v>
      </c>
      <c r="K121">
        <v>2023</v>
      </c>
      <c r="L121" s="1">
        <f t="shared" si="5"/>
        <v>21</v>
      </c>
      <c r="M121">
        <f>_xlfn.XLOOKUP(J121,Capacities!$A$2:$A$15,Capacities!$B$2:$B$15)</f>
        <v>6541</v>
      </c>
      <c r="N121">
        <f t="shared" si="4"/>
        <v>0.47133465830912702</v>
      </c>
    </row>
    <row r="122" spans="1:14" x14ac:dyDescent="0.35">
      <c r="A122" t="s">
        <v>74</v>
      </c>
      <c r="B122">
        <v>21</v>
      </c>
      <c r="C122" t="s">
        <v>15</v>
      </c>
      <c r="D122" s="5">
        <v>44933</v>
      </c>
      <c r="E122" s="8">
        <v>0.625</v>
      </c>
      <c r="F122" t="s">
        <v>39</v>
      </c>
      <c r="G122" t="s">
        <v>21</v>
      </c>
      <c r="H122" t="s">
        <v>26</v>
      </c>
      <c r="I122" s="7">
        <v>7249</v>
      </c>
      <c r="J122" t="s">
        <v>46</v>
      </c>
      <c r="K122">
        <v>2023</v>
      </c>
      <c r="L122" s="1">
        <f t="shared" si="5"/>
        <v>21</v>
      </c>
      <c r="M122">
        <f>_xlfn.XLOOKUP(J122,Capacities!$A$2:$A$15,Capacities!$B$2:$B$15)</f>
        <v>8006</v>
      </c>
      <c r="N122">
        <f t="shared" si="4"/>
        <v>0.90544591556332754</v>
      </c>
    </row>
    <row r="123" spans="1:14" x14ac:dyDescent="0.35">
      <c r="A123" t="s">
        <v>74</v>
      </c>
      <c r="B123">
        <v>21</v>
      </c>
      <c r="C123" t="s">
        <v>36</v>
      </c>
      <c r="D123" s="5">
        <v>44934</v>
      </c>
      <c r="E123" s="8">
        <v>0.5625</v>
      </c>
      <c r="F123" t="s">
        <v>22</v>
      </c>
      <c r="G123" t="s">
        <v>38</v>
      </c>
      <c r="H123" t="s">
        <v>37</v>
      </c>
      <c r="I123" s="7">
        <v>5594</v>
      </c>
      <c r="J123" t="s">
        <v>49</v>
      </c>
      <c r="K123">
        <v>2023</v>
      </c>
      <c r="L123" s="1">
        <f t="shared" si="5"/>
        <v>21</v>
      </c>
      <c r="M123">
        <f>_xlfn.XLOOKUP(J123,Capacities!$A$2:$A$15,Capacities!$B$2:$B$15)</f>
        <v>13750</v>
      </c>
      <c r="N123">
        <f t="shared" si="4"/>
        <v>0.40683636363636366</v>
      </c>
    </row>
    <row r="124" spans="1:14" x14ac:dyDescent="0.35">
      <c r="A124" t="s">
        <v>74</v>
      </c>
      <c r="B124">
        <v>21</v>
      </c>
      <c r="C124" t="s">
        <v>36</v>
      </c>
      <c r="D124" s="5">
        <v>44934</v>
      </c>
      <c r="E124" s="8">
        <v>0.66666666666666663</v>
      </c>
      <c r="F124" t="s">
        <v>75</v>
      </c>
      <c r="G124" t="s">
        <v>25</v>
      </c>
      <c r="H124" t="s">
        <v>34</v>
      </c>
      <c r="I124" s="7">
        <v>12599</v>
      </c>
      <c r="J124" t="s">
        <v>76</v>
      </c>
      <c r="K124">
        <v>2023</v>
      </c>
      <c r="L124" s="1">
        <f t="shared" si="5"/>
        <v>21</v>
      </c>
      <c r="M124">
        <f>_xlfn.XLOOKUP(J124,Capacities!$A$2:$A$15,Capacities!$B$2:$B$15)</f>
        <v>14223</v>
      </c>
      <c r="N124">
        <f t="shared" si="4"/>
        <v>0.8858187442874218</v>
      </c>
    </row>
    <row r="125" spans="1:14" x14ac:dyDescent="0.35">
      <c r="A125" t="s">
        <v>74</v>
      </c>
      <c r="B125">
        <v>7</v>
      </c>
      <c r="C125" t="s">
        <v>79</v>
      </c>
      <c r="D125" s="5">
        <v>44939</v>
      </c>
      <c r="E125" s="8">
        <v>0.82291666666666663</v>
      </c>
      <c r="F125" t="s">
        <v>26</v>
      </c>
      <c r="G125" t="s">
        <v>33</v>
      </c>
      <c r="H125" t="s">
        <v>39</v>
      </c>
      <c r="I125" s="7">
        <v>18721</v>
      </c>
      <c r="J125" t="s">
        <v>50</v>
      </c>
      <c r="K125">
        <v>2023</v>
      </c>
      <c r="L125" s="1">
        <f t="shared" si="5"/>
        <v>7</v>
      </c>
      <c r="M125">
        <f>_xlfn.XLOOKUP(J125,Capacities!$A$2:$A$15,Capacities!$B$2:$B$15)</f>
        <v>19852</v>
      </c>
      <c r="N125">
        <f t="shared" si="4"/>
        <v>0.94302841023574446</v>
      </c>
    </row>
    <row r="126" spans="1:14" x14ac:dyDescent="0.35">
      <c r="A126" t="s">
        <v>74</v>
      </c>
      <c r="B126">
        <v>22</v>
      </c>
      <c r="C126" t="s">
        <v>15</v>
      </c>
      <c r="D126" s="5">
        <v>44940</v>
      </c>
      <c r="E126" s="8">
        <v>0.625</v>
      </c>
      <c r="F126" t="s">
        <v>37</v>
      </c>
      <c r="G126" t="s">
        <v>51</v>
      </c>
      <c r="H126" t="s">
        <v>75</v>
      </c>
      <c r="I126" s="7">
        <v>18676</v>
      </c>
      <c r="J126" t="s">
        <v>40</v>
      </c>
      <c r="K126">
        <v>2023</v>
      </c>
      <c r="L126" s="1">
        <f t="shared" si="5"/>
        <v>22</v>
      </c>
      <c r="M126">
        <f>_xlfn.XLOOKUP(J126,Capacities!$A$2:$A$15,Capacities!$B$2:$B$15)</f>
        <v>20250</v>
      </c>
      <c r="N126">
        <f t="shared" si="4"/>
        <v>0.92227160493827165</v>
      </c>
    </row>
    <row r="127" spans="1:14" x14ac:dyDescent="0.35">
      <c r="A127" t="s">
        <v>74</v>
      </c>
      <c r="B127">
        <v>22</v>
      </c>
      <c r="C127" t="s">
        <v>15</v>
      </c>
      <c r="D127" s="5">
        <v>44940</v>
      </c>
      <c r="E127" s="8">
        <v>0.625</v>
      </c>
      <c r="F127" t="s">
        <v>22</v>
      </c>
      <c r="G127" t="s">
        <v>21</v>
      </c>
      <c r="H127" t="s">
        <v>18</v>
      </c>
      <c r="I127" s="7">
        <v>4574</v>
      </c>
      <c r="J127" t="s">
        <v>49</v>
      </c>
      <c r="K127">
        <v>2023</v>
      </c>
      <c r="L127" s="1">
        <f t="shared" si="5"/>
        <v>22</v>
      </c>
      <c r="M127">
        <f>_xlfn.XLOOKUP(J127,Capacities!$A$2:$A$15,Capacities!$B$2:$B$15)</f>
        <v>13750</v>
      </c>
      <c r="N127">
        <f t="shared" si="4"/>
        <v>0.33265454545454548</v>
      </c>
    </row>
    <row r="128" spans="1:14" x14ac:dyDescent="0.35">
      <c r="A128" t="s">
        <v>74</v>
      </c>
      <c r="B128">
        <v>22</v>
      </c>
      <c r="C128" t="s">
        <v>15</v>
      </c>
      <c r="D128" s="5">
        <v>44940</v>
      </c>
      <c r="E128" s="8">
        <v>0.625</v>
      </c>
      <c r="F128" t="s">
        <v>24</v>
      </c>
      <c r="G128" t="s">
        <v>61</v>
      </c>
      <c r="H128" t="s">
        <v>28</v>
      </c>
      <c r="I128" s="7">
        <v>2899</v>
      </c>
      <c r="J128" t="s">
        <v>27</v>
      </c>
      <c r="K128">
        <v>2023</v>
      </c>
      <c r="L128" s="1">
        <f t="shared" si="5"/>
        <v>22</v>
      </c>
      <c r="M128">
        <f>_xlfn.XLOOKUP(J128,Capacities!$A$2:$A$15,Capacities!$B$2:$B$15)</f>
        <v>10700</v>
      </c>
      <c r="N128">
        <f t="shared" si="4"/>
        <v>0.27093457943925231</v>
      </c>
    </row>
    <row r="129" spans="1:14" x14ac:dyDescent="0.35">
      <c r="A129" t="s">
        <v>74</v>
      </c>
      <c r="B129">
        <v>22</v>
      </c>
      <c r="C129" t="s">
        <v>60</v>
      </c>
      <c r="D129" s="5">
        <v>44944</v>
      </c>
      <c r="E129" s="8">
        <v>0.82291666666666663</v>
      </c>
      <c r="F129" t="s">
        <v>16</v>
      </c>
      <c r="G129" t="s">
        <v>41</v>
      </c>
      <c r="H129" t="s">
        <v>39</v>
      </c>
      <c r="I129" s="7">
        <v>58493</v>
      </c>
      <c r="J129" t="s">
        <v>19</v>
      </c>
      <c r="K129">
        <v>2023</v>
      </c>
      <c r="L129" s="1">
        <f t="shared" si="5"/>
        <v>22</v>
      </c>
      <c r="M129">
        <f>_xlfn.XLOOKUP(J129,Capacities!$A$2:$A$15,Capacities!$B$2:$B$15)</f>
        <v>60500</v>
      </c>
      <c r="N129">
        <f t="shared" si="4"/>
        <v>0.96682644628099168</v>
      </c>
    </row>
    <row r="130" spans="1:14" x14ac:dyDescent="0.35">
      <c r="A130" t="s">
        <v>74</v>
      </c>
      <c r="B130">
        <v>22</v>
      </c>
      <c r="C130" t="s">
        <v>60</v>
      </c>
      <c r="D130" s="5">
        <v>44944</v>
      </c>
      <c r="E130" s="8">
        <v>0.82291666666666663</v>
      </c>
      <c r="F130" t="s">
        <v>26</v>
      </c>
      <c r="G130" t="s">
        <v>66</v>
      </c>
      <c r="H130" t="s">
        <v>30</v>
      </c>
      <c r="I130" s="7">
        <v>18497</v>
      </c>
      <c r="J130" t="s">
        <v>50</v>
      </c>
      <c r="K130">
        <v>2023</v>
      </c>
      <c r="L130" s="1">
        <f t="shared" ref="L130:L161" si="6">B130</f>
        <v>22</v>
      </c>
      <c r="M130">
        <f>_xlfn.XLOOKUP(J130,Capacities!$A$2:$A$15,Capacities!$B$2:$B$15)</f>
        <v>19852</v>
      </c>
      <c r="N130">
        <f t="shared" ref="N130:N193" si="7">I130/M130</f>
        <v>0.93174491235140033</v>
      </c>
    </row>
    <row r="131" spans="1:14" x14ac:dyDescent="0.35">
      <c r="A131" t="s">
        <v>74</v>
      </c>
      <c r="B131">
        <v>22</v>
      </c>
      <c r="C131" t="s">
        <v>60</v>
      </c>
      <c r="D131" s="5">
        <v>44944</v>
      </c>
      <c r="E131" s="8">
        <v>0.83333333333333337</v>
      </c>
      <c r="F131" t="s">
        <v>32</v>
      </c>
      <c r="G131" t="s">
        <v>38</v>
      </c>
      <c r="H131" t="s">
        <v>34</v>
      </c>
      <c r="I131" s="7">
        <v>8461</v>
      </c>
      <c r="J131" t="s">
        <v>35</v>
      </c>
      <c r="K131">
        <v>2023</v>
      </c>
      <c r="L131" s="1">
        <f t="shared" si="6"/>
        <v>22</v>
      </c>
      <c r="M131">
        <f>_xlfn.XLOOKUP(J131,Capacities!$A$2:$A$15,Capacities!$B$2:$B$15)</f>
        <v>18128</v>
      </c>
      <c r="N131">
        <f t="shared" si="7"/>
        <v>0.46673654015887028</v>
      </c>
    </row>
    <row r="132" spans="1:14" x14ac:dyDescent="0.35">
      <c r="A132" t="s">
        <v>74</v>
      </c>
      <c r="B132">
        <v>23</v>
      </c>
      <c r="C132" t="s">
        <v>15</v>
      </c>
      <c r="D132" s="5">
        <v>44954</v>
      </c>
      <c r="E132" s="8">
        <v>0.625</v>
      </c>
      <c r="F132" t="s">
        <v>37</v>
      </c>
      <c r="G132" t="s">
        <v>63</v>
      </c>
      <c r="H132" t="s">
        <v>30</v>
      </c>
      <c r="I132" s="7">
        <v>16671</v>
      </c>
      <c r="J132" t="s">
        <v>40</v>
      </c>
      <c r="K132">
        <v>2023</v>
      </c>
      <c r="L132" s="1">
        <f t="shared" si="6"/>
        <v>23</v>
      </c>
      <c r="M132">
        <f>_xlfn.XLOOKUP(J132,Capacities!$A$2:$A$15,Capacities!$B$2:$B$15)</f>
        <v>20250</v>
      </c>
      <c r="N132">
        <f t="shared" si="7"/>
        <v>0.82325925925925925</v>
      </c>
    </row>
    <row r="133" spans="1:14" x14ac:dyDescent="0.35">
      <c r="A133" t="s">
        <v>74</v>
      </c>
      <c r="B133">
        <v>23</v>
      </c>
      <c r="C133" t="s">
        <v>15</v>
      </c>
      <c r="D133" s="5">
        <v>44954</v>
      </c>
      <c r="E133" s="8">
        <v>0.625</v>
      </c>
      <c r="F133" t="s">
        <v>34</v>
      </c>
      <c r="G133" t="s">
        <v>43</v>
      </c>
      <c r="H133" t="s">
        <v>24</v>
      </c>
      <c r="I133" s="7">
        <v>49672</v>
      </c>
      <c r="J133" t="s">
        <v>42</v>
      </c>
      <c r="K133">
        <v>2023</v>
      </c>
      <c r="L133" s="1">
        <f t="shared" si="6"/>
        <v>23</v>
      </c>
      <c r="M133">
        <f>_xlfn.XLOOKUP(J133,Capacities!$A$2:$A$15,Capacities!$B$2:$B$15)</f>
        <v>51082</v>
      </c>
      <c r="N133">
        <f t="shared" si="7"/>
        <v>0.97239732195293838</v>
      </c>
    </row>
    <row r="134" spans="1:14" x14ac:dyDescent="0.35">
      <c r="A134" t="s">
        <v>74</v>
      </c>
      <c r="B134">
        <v>23</v>
      </c>
      <c r="C134" t="s">
        <v>15</v>
      </c>
      <c r="D134" s="5">
        <v>44954</v>
      </c>
      <c r="E134" s="8">
        <v>0.625</v>
      </c>
      <c r="F134" t="s">
        <v>18</v>
      </c>
      <c r="G134" t="s">
        <v>53</v>
      </c>
      <c r="H134" t="s">
        <v>32</v>
      </c>
      <c r="I134" s="7">
        <v>3794</v>
      </c>
      <c r="J134" t="s">
        <v>44</v>
      </c>
      <c r="K134">
        <v>2023</v>
      </c>
      <c r="L134" s="1">
        <f t="shared" si="6"/>
        <v>23</v>
      </c>
      <c r="M134">
        <f>_xlfn.XLOOKUP(J134,Capacities!$A$2:$A$15,Capacities!$B$2:$B$15)</f>
        <v>6541</v>
      </c>
      <c r="N134">
        <f t="shared" si="7"/>
        <v>0.58003363400091734</v>
      </c>
    </row>
    <row r="135" spans="1:14" x14ac:dyDescent="0.35">
      <c r="A135" t="s">
        <v>74</v>
      </c>
      <c r="B135">
        <v>23</v>
      </c>
      <c r="C135" t="s">
        <v>15</v>
      </c>
      <c r="D135" s="5">
        <v>44954</v>
      </c>
      <c r="E135" s="8">
        <v>0.625</v>
      </c>
      <c r="F135" t="s">
        <v>39</v>
      </c>
      <c r="G135" t="s">
        <v>33</v>
      </c>
      <c r="H135" t="s">
        <v>22</v>
      </c>
      <c r="I135" s="7">
        <v>6424</v>
      </c>
      <c r="J135" t="s">
        <v>46</v>
      </c>
      <c r="K135">
        <v>2023</v>
      </c>
      <c r="L135" s="1">
        <f t="shared" si="6"/>
        <v>23</v>
      </c>
      <c r="M135">
        <f>_xlfn.XLOOKUP(J135,Capacities!$A$2:$A$15,Capacities!$B$2:$B$15)</f>
        <v>8006</v>
      </c>
      <c r="N135">
        <f t="shared" si="7"/>
        <v>0.8023982013489882</v>
      </c>
    </row>
    <row r="136" spans="1:14" x14ac:dyDescent="0.35">
      <c r="A136" t="s">
        <v>74</v>
      </c>
      <c r="B136">
        <v>23</v>
      </c>
      <c r="C136" t="s">
        <v>36</v>
      </c>
      <c r="D136" s="5">
        <v>44955</v>
      </c>
      <c r="E136" s="8">
        <v>0.5625</v>
      </c>
      <c r="F136" t="s">
        <v>28</v>
      </c>
      <c r="G136" t="s">
        <v>29</v>
      </c>
      <c r="H136" t="s">
        <v>26</v>
      </c>
      <c r="I136" s="7">
        <v>6393</v>
      </c>
      <c r="J136" t="s">
        <v>31</v>
      </c>
      <c r="K136">
        <v>2023</v>
      </c>
      <c r="L136" s="1">
        <f t="shared" si="6"/>
        <v>23</v>
      </c>
      <c r="M136">
        <f>_xlfn.XLOOKUP(J136,Capacities!$A$2:$A$15,Capacities!$B$2:$B$15)</f>
        <v>9672</v>
      </c>
      <c r="N136">
        <f t="shared" si="7"/>
        <v>0.66098014888337464</v>
      </c>
    </row>
    <row r="137" spans="1:14" x14ac:dyDescent="0.35">
      <c r="A137" t="s">
        <v>74</v>
      </c>
      <c r="B137">
        <v>23</v>
      </c>
      <c r="C137" t="s">
        <v>36</v>
      </c>
      <c r="D137" s="5">
        <v>44955</v>
      </c>
      <c r="E137" s="8">
        <v>0.66666666666666663</v>
      </c>
      <c r="F137" t="s">
        <v>75</v>
      </c>
      <c r="G137" t="s">
        <v>25</v>
      </c>
      <c r="H137" t="s">
        <v>16</v>
      </c>
      <c r="I137" s="7">
        <v>12448</v>
      </c>
      <c r="J137" t="s">
        <v>76</v>
      </c>
      <c r="K137">
        <v>2023</v>
      </c>
      <c r="L137" s="1">
        <f t="shared" si="6"/>
        <v>23</v>
      </c>
      <c r="M137">
        <f>_xlfn.XLOOKUP(J137,Capacities!$A$2:$A$15,Capacities!$B$2:$B$15)</f>
        <v>14223</v>
      </c>
      <c r="N137">
        <f t="shared" si="7"/>
        <v>0.87520213738311181</v>
      </c>
    </row>
    <row r="138" spans="1:14" x14ac:dyDescent="0.35">
      <c r="A138" t="s">
        <v>74</v>
      </c>
      <c r="B138">
        <v>24</v>
      </c>
      <c r="C138" t="s">
        <v>58</v>
      </c>
      <c r="D138" s="5">
        <v>44957</v>
      </c>
      <c r="E138" s="8">
        <v>0.82291666666666663</v>
      </c>
      <c r="F138" t="s">
        <v>18</v>
      </c>
      <c r="G138" t="s">
        <v>21</v>
      </c>
      <c r="H138" t="s">
        <v>37</v>
      </c>
      <c r="I138" s="7">
        <v>3074</v>
      </c>
      <c r="J138" t="s">
        <v>44</v>
      </c>
      <c r="K138">
        <v>2023</v>
      </c>
      <c r="L138" s="1">
        <f t="shared" si="6"/>
        <v>24</v>
      </c>
      <c r="M138">
        <f>_xlfn.XLOOKUP(J138,Capacities!$A$2:$A$15,Capacities!$B$2:$B$15)</f>
        <v>6541</v>
      </c>
      <c r="N138">
        <f t="shared" si="7"/>
        <v>0.46995872190796512</v>
      </c>
    </row>
    <row r="139" spans="1:14" x14ac:dyDescent="0.35">
      <c r="A139" t="s">
        <v>74</v>
      </c>
      <c r="B139">
        <v>24</v>
      </c>
      <c r="C139" t="s">
        <v>60</v>
      </c>
      <c r="D139" s="5">
        <v>44958</v>
      </c>
      <c r="E139" s="8">
        <v>0.82291666666666663</v>
      </c>
      <c r="F139" t="s">
        <v>30</v>
      </c>
      <c r="G139" t="s">
        <v>47</v>
      </c>
      <c r="H139" t="s">
        <v>39</v>
      </c>
      <c r="I139" s="7">
        <v>13014</v>
      </c>
      <c r="J139" t="s">
        <v>48</v>
      </c>
      <c r="K139">
        <v>2023</v>
      </c>
      <c r="L139" s="1">
        <f t="shared" si="6"/>
        <v>24</v>
      </c>
      <c r="M139">
        <f>_xlfn.XLOOKUP(J139,Capacities!$A$2:$A$15,Capacities!$B$2:$B$15)</f>
        <v>21412</v>
      </c>
      <c r="N139">
        <f t="shared" si="7"/>
        <v>0.60779002428544737</v>
      </c>
    </row>
    <row r="140" spans="1:14" x14ac:dyDescent="0.35">
      <c r="A140" t="s">
        <v>74</v>
      </c>
      <c r="B140">
        <v>24</v>
      </c>
      <c r="C140" t="s">
        <v>60</v>
      </c>
      <c r="D140" s="5">
        <v>44958</v>
      </c>
      <c r="E140" s="8">
        <v>0.82291666666666663</v>
      </c>
      <c r="F140" t="s">
        <v>16</v>
      </c>
      <c r="G140" t="s">
        <v>53</v>
      </c>
      <c r="H140" t="s">
        <v>28</v>
      </c>
      <c r="I140" s="7">
        <v>58295</v>
      </c>
      <c r="J140" t="s">
        <v>19</v>
      </c>
      <c r="K140">
        <v>2023</v>
      </c>
      <c r="L140" s="1">
        <f t="shared" si="6"/>
        <v>24</v>
      </c>
      <c r="M140">
        <f>_xlfn.XLOOKUP(J140,Capacities!$A$2:$A$15,Capacities!$B$2:$B$15)</f>
        <v>60500</v>
      </c>
      <c r="N140">
        <f t="shared" si="7"/>
        <v>0.96355371900826448</v>
      </c>
    </row>
    <row r="141" spans="1:14" x14ac:dyDescent="0.35">
      <c r="A141" t="s">
        <v>74</v>
      </c>
      <c r="B141">
        <v>24</v>
      </c>
      <c r="C141" t="s">
        <v>60</v>
      </c>
      <c r="D141" s="5">
        <v>44958</v>
      </c>
      <c r="E141" s="8">
        <v>0.82291666666666663</v>
      </c>
      <c r="F141" t="s">
        <v>26</v>
      </c>
      <c r="G141" t="s">
        <v>54</v>
      </c>
      <c r="H141" t="s">
        <v>34</v>
      </c>
      <c r="I141" s="7">
        <v>18330</v>
      </c>
      <c r="J141" t="s">
        <v>50</v>
      </c>
      <c r="K141">
        <v>2023</v>
      </c>
      <c r="L141" s="1">
        <f t="shared" si="6"/>
        <v>24</v>
      </c>
      <c r="M141">
        <f>_xlfn.XLOOKUP(J141,Capacities!$A$2:$A$15,Capacities!$B$2:$B$15)</f>
        <v>19852</v>
      </c>
      <c r="N141">
        <f t="shared" si="7"/>
        <v>0.92333266169655448</v>
      </c>
    </row>
    <row r="142" spans="1:14" x14ac:dyDescent="0.35">
      <c r="A142" t="s">
        <v>74</v>
      </c>
      <c r="B142">
        <v>24</v>
      </c>
      <c r="C142" t="s">
        <v>60</v>
      </c>
      <c r="D142" s="5">
        <v>44958</v>
      </c>
      <c r="E142" s="8">
        <v>0.82291666666666663</v>
      </c>
      <c r="F142" t="s">
        <v>32</v>
      </c>
      <c r="G142" t="s">
        <v>33</v>
      </c>
      <c r="H142" t="s">
        <v>75</v>
      </c>
      <c r="I142" s="7">
        <v>4620</v>
      </c>
      <c r="J142" t="s">
        <v>35</v>
      </c>
      <c r="K142">
        <v>2023</v>
      </c>
      <c r="L142" s="1">
        <f t="shared" si="6"/>
        <v>24</v>
      </c>
      <c r="M142">
        <f>_xlfn.XLOOKUP(J142,Capacities!$A$2:$A$15,Capacities!$B$2:$B$15)</f>
        <v>18128</v>
      </c>
      <c r="N142">
        <f t="shared" si="7"/>
        <v>0.25485436893203883</v>
      </c>
    </row>
    <row r="143" spans="1:14" x14ac:dyDescent="0.35">
      <c r="A143" t="s">
        <v>74</v>
      </c>
      <c r="B143">
        <v>24</v>
      </c>
      <c r="C143" t="s">
        <v>60</v>
      </c>
      <c r="D143" s="5">
        <v>44958</v>
      </c>
      <c r="E143" s="8">
        <v>0.82291666666666663</v>
      </c>
      <c r="F143" t="s">
        <v>22</v>
      </c>
      <c r="G143" t="s">
        <v>25</v>
      </c>
      <c r="H143" t="s">
        <v>24</v>
      </c>
      <c r="I143" s="7">
        <v>4131</v>
      </c>
      <c r="J143" t="s">
        <v>49</v>
      </c>
      <c r="K143">
        <v>2023</v>
      </c>
      <c r="L143" s="1">
        <f t="shared" si="6"/>
        <v>24</v>
      </c>
      <c r="M143">
        <f>_xlfn.XLOOKUP(J143,Capacities!$A$2:$A$15,Capacities!$B$2:$B$15)</f>
        <v>13750</v>
      </c>
      <c r="N143">
        <f t="shared" si="7"/>
        <v>0.30043636363636361</v>
      </c>
    </row>
    <row r="144" spans="1:14" x14ac:dyDescent="0.35">
      <c r="A144" t="s">
        <v>74</v>
      </c>
      <c r="B144">
        <v>25</v>
      </c>
      <c r="C144" t="s">
        <v>15</v>
      </c>
      <c r="D144" s="5">
        <v>44961</v>
      </c>
      <c r="E144" s="8">
        <v>0.625</v>
      </c>
      <c r="F144" t="s">
        <v>30</v>
      </c>
      <c r="G144" t="s">
        <v>56</v>
      </c>
      <c r="H144" t="s">
        <v>22</v>
      </c>
      <c r="I144" s="7">
        <v>14271</v>
      </c>
      <c r="J144" t="s">
        <v>48</v>
      </c>
      <c r="K144">
        <v>2023</v>
      </c>
      <c r="L144" s="1">
        <f t="shared" si="6"/>
        <v>25</v>
      </c>
      <c r="M144">
        <f>_xlfn.XLOOKUP(J144,Capacities!$A$2:$A$15,Capacities!$B$2:$B$15)</f>
        <v>21412</v>
      </c>
      <c r="N144">
        <f t="shared" si="7"/>
        <v>0.66649542312721843</v>
      </c>
    </row>
    <row r="145" spans="1:14" x14ac:dyDescent="0.35">
      <c r="A145" t="s">
        <v>74</v>
      </c>
      <c r="B145">
        <v>25</v>
      </c>
      <c r="C145" t="s">
        <v>15</v>
      </c>
      <c r="D145" s="5">
        <v>44961</v>
      </c>
      <c r="E145" s="8">
        <v>0.625</v>
      </c>
      <c r="F145" t="s">
        <v>26</v>
      </c>
      <c r="G145" t="s">
        <v>56</v>
      </c>
      <c r="H145" t="s">
        <v>75</v>
      </c>
      <c r="I145" s="7">
        <v>18279</v>
      </c>
      <c r="J145" t="s">
        <v>50</v>
      </c>
      <c r="K145">
        <v>2023</v>
      </c>
      <c r="L145" s="1">
        <f t="shared" si="6"/>
        <v>25</v>
      </c>
      <c r="M145">
        <f>_xlfn.XLOOKUP(J145,Capacities!$A$2:$A$15,Capacities!$B$2:$B$15)</f>
        <v>19852</v>
      </c>
      <c r="N145">
        <f t="shared" si="7"/>
        <v>0.92076365101752977</v>
      </c>
    </row>
    <row r="146" spans="1:14" x14ac:dyDescent="0.35">
      <c r="A146" t="s">
        <v>74</v>
      </c>
      <c r="B146">
        <v>25</v>
      </c>
      <c r="C146" t="s">
        <v>15</v>
      </c>
      <c r="D146" s="5">
        <v>44961</v>
      </c>
      <c r="E146" s="8">
        <v>0.625</v>
      </c>
      <c r="F146" t="s">
        <v>28</v>
      </c>
      <c r="G146" t="s">
        <v>56</v>
      </c>
      <c r="H146" t="s">
        <v>32</v>
      </c>
      <c r="I146" s="7">
        <v>1923</v>
      </c>
      <c r="J146" t="s">
        <v>31</v>
      </c>
      <c r="K146">
        <v>2023</v>
      </c>
      <c r="L146" s="1">
        <f t="shared" si="6"/>
        <v>25</v>
      </c>
      <c r="M146">
        <f>_xlfn.XLOOKUP(J146,Capacities!$A$2:$A$15,Capacities!$B$2:$B$15)</f>
        <v>9672</v>
      </c>
      <c r="N146">
        <f t="shared" si="7"/>
        <v>0.19882133995037221</v>
      </c>
    </row>
    <row r="147" spans="1:14" x14ac:dyDescent="0.35">
      <c r="A147" t="s">
        <v>74</v>
      </c>
      <c r="B147">
        <v>25</v>
      </c>
      <c r="C147" t="s">
        <v>15</v>
      </c>
      <c r="D147" s="5">
        <v>44961</v>
      </c>
      <c r="E147" s="8">
        <v>0.625</v>
      </c>
      <c r="F147" t="s">
        <v>34</v>
      </c>
      <c r="G147" t="s">
        <v>45</v>
      </c>
      <c r="H147" t="s">
        <v>18</v>
      </c>
      <c r="I147" s="7">
        <v>49115</v>
      </c>
      <c r="J147" t="s">
        <v>42</v>
      </c>
      <c r="K147">
        <v>2023</v>
      </c>
      <c r="L147" s="1">
        <f t="shared" si="6"/>
        <v>25</v>
      </c>
      <c r="M147">
        <f>_xlfn.XLOOKUP(J147,Capacities!$A$2:$A$15,Capacities!$B$2:$B$15)</f>
        <v>51082</v>
      </c>
      <c r="N147">
        <f t="shared" si="7"/>
        <v>0.96149328530597866</v>
      </c>
    </row>
    <row r="148" spans="1:14" x14ac:dyDescent="0.35">
      <c r="A148" t="s">
        <v>74</v>
      </c>
      <c r="B148">
        <v>25</v>
      </c>
      <c r="C148" t="s">
        <v>15</v>
      </c>
      <c r="D148" s="5">
        <v>44961</v>
      </c>
      <c r="E148" s="8">
        <v>0.625</v>
      </c>
      <c r="F148" t="s">
        <v>39</v>
      </c>
      <c r="G148" t="s">
        <v>52</v>
      </c>
      <c r="H148" t="s">
        <v>37</v>
      </c>
      <c r="I148" s="7">
        <v>7253</v>
      </c>
      <c r="J148" t="s">
        <v>46</v>
      </c>
      <c r="K148">
        <v>2023</v>
      </c>
      <c r="L148" s="1">
        <f t="shared" si="6"/>
        <v>25</v>
      </c>
      <c r="M148">
        <f>_xlfn.XLOOKUP(J148,Capacities!$A$2:$A$15,Capacities!$B$2:$B$15)</f>
        <v>8006</v>
      </c>
      <c r="N148">
        <f t="shared" si="7"/>
        <v>0.90594554084436674</v>
      </c>
    </row>
    <row r="149" spans="1:14" x14ac:dyDescent="0.35">
      <c r="A149" t="s">
        <v>74</v>
      </c>
      <c r="B149">
        <v>25</v>
      </c>
      <c r="C149" t="s">
        <v>36</v>
      </c>
      <c r="D149" s="5">
        <v>44962</v>
      </c>
      <c r="E149" s="8">
        <v>0.5</v>
      </c>
      <c r="F149" t="s">
        <v>24</v>
      </c>
      <c r="G149" t="s">
        <v>57</v>
      </c>
      <c r="H149" t="s">
        <v>16</v>
      </c>
      <c r="I149" s="7">
        <v>7758</v>
      </c>
      <c r="J149" t="s">
        <v>27</v>
      </c>
      <c r="K149">
        <v>2023</v>
      </c>
      <c r="L149" s="1">
        <f t="shared" si="6"/>
        <v>25</v>
      </c>
      <c r="M149">
        <f>_xlfn.XLOOKUP(J149,Capacities!$A$2:$A$15,Capacities!$B$2:$B$15)</f>
        <v>10700</v>
      </c>
      <c r="N149">
        <f t="shared" si="7"/>
        <v>0.72504672897196265</v>
      </c>
    </row>
    <row r="150" spans="1:14" x14ac:dyDescent="0.35">
      <c r="A150" t="s">
        <v>74</v>
      </c>
      <c r="B150">
        <v>17</v>
      </c>
      <c r="C150" t="s">
        <v>60</v>
      </c>
      <c r="D150" s="5">
        <v>44972</v>
      </c>
      <c r="E150" s="8">
        <v>0.82291666666666663</v>
      </c>
      <c r="F150" t="s">
        <v>22</v>
      </c>
      <c r="G150" t="s">
        <v>45</v>
      </c>
      <c r="H150" t="s">
        <v>39</v>
      </c>
      <c r="I150" s="7">
        <v>4978</v>
      </c>
      <c r="J150" t="s">
        <v>49</v>
      </c>
      <c r="K150">
        <v>2023</v>
      </c>
      <c r="L150" s="1">
        <f t="shared" si="6"/>
        <v>17</v>
      </c>
      <c r="M150">
        <f>_xlfn.XLOOKUP(J150,Capacities!$A$2:$A$15,Capacities!$B$2:$B$15)</f>
        <v>13750</v>
      </c>
      <c r="N150">
        <f t="shared" si="7"/>
        <v>0.36203636363636366</v>
      </c>
    </row>
    <row r="151" spans="1:14" x14ac:dyDescent="0.35">
      <c r="A151" t="s">
        <v>74</v>
      </c>
      <c r="B151">
        <v>26</v>
      </c>
      <c r="C151" t="s">
        <v>15</v>
      </c>
      <c r="D151" s="5">
        <v>44975</v>
      </c>
      <c r="E151" s="8">
        <v>0.625</v>
      </c>
      <c r="F151" t="s">
        <v>16</v>
      </c>
      <c r="G151" t="s">
        <v>41</v>
      </c>
      <c r="H151" t="s">
        <v>30</v>
      </c>
      <c r="I151" s="7">
        <v>59090</v>
      </c>
      <c r="J151" t="s">
        <v>19</v>
      </c>
      <c r="K151">
        <v>2023</v>
      </c>
      <c r="L151" s="1">
        <f t="shared" si="6"/>
        <v>26</v>
      </c>
      <c r="M151">
        <f>_xlfn.XLOOKUP(J151,Capacities!$A$2:$A$15,Capacities!$B$2:$B$15)</f>
        <v>60500</v>
      </c>
      <c r="N151">
        <f t="shared" si="7"/>
        <v>0.97669421487603303</v>
      </c>
    </row>
    <row r="152" spans="1:14" x14ac:dyDescent="0.35">
      <c r="A152" t="s">
        <v>74</v>
      </c>
      <c r="B152">
        <v>26</v>
      </c>
      <c r="C152" t="s">
        <v>15</v>
      </c>
      <c r="D152" s="5">
        <v>44975</v>
      </c>
      <c r="E152" s="8">
        <v>0.625</v>
      </c>
      <c r="F152" t="s">
        <v>75</v>
      </c>
      <c r="G152" t="s">
        <v>55</v>
      </c>
      <c r="H152" t="s">
        <v>24</v>
      </c>
      <c r="I152" s="7">
        <v>9796</v>
      </c>
      <c r="J152" t="s">
        <v>76</v>
      </c>
      <c r="K152">
        <v>2023</v>
      </c>
      <c r="L152" s="1">
        <f t="shared" si="6"/>
        <v>26</v>
      </c>
      <c r="M152">
        <f>_xlfn.XLOOKUP(J152,Capacities!$A$2:$A$15,Capacities!$B$2:$B$15)</f>
        <v>14223</v>
      </c>
      <c r="N152">
        <f t="shared" si="7"/>
        <v>0.68874358433523164</v>
      </c>
    </row>
    <row r="153" spans="1:14" x14ac:dyDescent="0.35">
      <c r="A153" t="s">
        <v>74</v>
      </c>
      <c r="B153">
        <v>26</v>
      </c>
      <c r="C153" t="s">
        <v>15</v>
      </c>
      <c r="D153" s="5">
        <v>44975</v>
      </c>
      <c r="E153" s="8">
        <v>0.625</v>
      </c>
      <c r="F153" t="s">
        <v>37</v>
      </c>
      <c r="G153" t="s">
        <v>43</v>
      </c>
      <c r="H153" t="s">
        <v>32</v>
      </c>
      <c r="I153" s="7">
        <v>16068</v>
      </c>
      <c r="J153" t="s">
        <v>40</v>
      </c>
      <c r="K153">
        <v>2023</v>
      </c>
      <c r="L153" s="1">
        <f t="shared" si="6"/>
        <v>26</v>
      </c>
      <c r="M153">
        <f>_xlfn.XLOOKUP(J153,Capacities!$A$2:$A$15,Capacities!$B$2:$B$15)</f>
        <v>20250</v>
      </c>
      <c r="N153">
        <f t="shared" si="7"/>
        <v>0.79348148148148145</v>
      </c>
    </row>
    <row r="154" spans="1:14" x14ac:dyDescent="0.35">
      <c r="A154" t="s">
        <v>74</v>
      </c>
      <c r="B154">
        <v>26</v>
      </c>
      <c r="C154" t="s">
        <v>15</v>
      </c>
      <c r="D154" s="5">
        <v>44975</v>
      </c>
      <c r="E154" s="8">
        <v>0.625</v>
      </c>
      <c r="F154" t="s">
        <v>28</v>
      </c>
      <c r="G154" t="s">
        <v>54</v>
      </c>
      <c r="H154" t="s">
        <v>34</v>
      </c>
      <c r="I154" s="7">
        <v>8752</v>
      </c>
      <c r="J154" t="s">
        <v>31</v>
      </c>
      <c r="K154">
        <v>2023</v>
      </c>
      <c r="L154" s="1">
        <f t="shared" si="6"/>
        <v>26</v>
      </c>
      <c r="M154">
        <f>_xlfn.XLOOKUP(J154,Capacities!$A$2:$A$15,Capacities!$B$2:$B$15)</f>
        <v>9672</v>
      </c>
      <c r="N154">
        <f t="shared" si="7"/>
        <v>0.90488006617038874</v>
      </c>
    </row>
    <row r="155" spans="1:14" x14ac:dyDescent="0.35">
      <c r="A155" t="s">
        <v>74</v>
      </c>
      <c r="B155">
        <v>26</v>
      </c>
      <c r="C155" t="s">
        <v>15</v>
      </c>
      <c r="D155" s="5">
        <v>44975</v>
      </c>
      <c r="E155" s="8">
        <v>0.625</v>
      </c>
      <c r="F155" t="s">
        <v>39</v>
      </c>
      <c r="G155" t="s">
        <v>33</v>
      </c>
      <c r="H155" t="s">
        <v>18</v>
      </c>
      <c r="I155" s="7">
        <v>5634</v>
      </c>
      <c r="J155" t="s">
        <v>46</v>
      </c>
      <c r="K155">
        <v>2023</v>
      </c>
      <c r="L155" s="1">
        <f t="shared" si="6"/>
        <v>26</v>
      </c>
      <c r="M155">
        <f>_xlfn.XLOOKUP(J155,Capacities!$A$2:$A$15,Capacities!$B$2:$B$15)</f>
        <v>8006</v>
      </c>
      <c r="N155">
        <f t="shared" si="7"/>
        <v>0.70372220834374222</v>
      </c>
    </row>
    <row r="156" spans="1:14" x14ac:dyDescent="0.35">
      <c r="A156" t="s">
        <v>74</v>
      </c>
      <c r="B156">
        <v>26</v>
      </c>
      <c r="C156" t="s">
        <v>36</v>
      </c>
      <c r="D156" s="5">
        <v>44976</v>
      </c>
      <c r="E156" s="8">
        <v>0.5</v>
      </c>
      <c r="F156" t="s">
        <v>22</v>
      </c>
      <c r="G156" t="s">
        <v>43</v>
      </c>
      <c r="H156" t="s">
        <v>26</v>
      </c>
      <c r="I156" s="7">
        <v>6450</v>
      </c>
      <c r="J156" t="s">
        <v>49</v>
      </c>
      <c r="K156">
        <v>2023</v>
      </c>
      <c r="L156" s="1">
        <f t="shared" si="6"/>
        <v>26</v>
      </c>
      <c r="M156">
        <f>_xlfn.XLOOKUP(J156,Capacities!$A$2:$A$15,Capacities!$B$2:$B$15)</f>
        <v>13750</v>
      </c>
      <c r="N156">
        <f t="shared" si="7"/>
        <v>0.46909090909090911</v>
      </c>
    </row>
    <row r="157" spans="1:14" x14ac:dyDescent="0.35">
      <c r="A157" t="s">
        <v>74</v>
      </c>
      <c r="B157">
        <v>27</v>
      </c>
      <c r="C157" t="s">
        <v>15</v>
      </c>
      <c r="D157" s="5">
        <v>44982</v>
      </c>
      <c r="E157" s="8">
        <v>0.625</v>
      </c>
      <c r="F157" t="s">
        <v>30</v>
      </c>
      <c r="G157" t="s">
        <v>33</v>
      </c>
      <c r="H157" t="s">
        <v>28</v>
      </c>
      <c r="I157" s="7">
        <v>14091</v>
      </c>
      <c r="J157" t="s">
        <v>48</v>
      </c>
      <c r="K157">
        <v>2023</v>
      </c>
      <c r="L157" s="1">
        <f t="shared" si="6"/>
        <v>27</v>
      </c>
      <c r="M157">
        <f>_xlfn.XLOOKUP(J157,Capacities!$A$2:$A$15,Capacities!$B$2:$B$15)</f>
        <v>21412</v>
      </c>
      <c r="N157">
        <f t="shared" si="7"/>
        <v>0.65808892209975711</v>
      </c>
    </row>
    <row r="158" spans="1:14" x14ac:dyDescent="0.35">
      <c r="A158" t="s">
        <v>74</v>
      </c>
      <c r="B158">
        <v>27</v>
      </c>
      <c r="C158" t="s">
        <v>15</v>
      </c>
      <c r="D158" s="5">
        <v>44982</v>
      </c>
      <c r="E158" s="8">
        <v>0.625</v>
      </c>
      <c r="F158" t="s">
        <v>32</v>
      </c>
      <c r="G158" t="s">
        <v>21</v>
      </c>
      <c r="H158" t="s">
        <v>22</v>
      </c>
      <c r="I158" s="7">
        <v>6512</v>
      </c>
      <c r="J158" t="s">
        <v>35</v>
      </c>
      <c r="K158">
        <v>2023</v>
      </c>
      <c r="L158" s="1">
        <f t="shared" si="6"/>
        <v>27</v>
      </c>
      <c r="M158">
        <f>_xlfn.XLOOKUP(J158,Capacities!$A$2:$A$15,Capacities!$B$2:$B$15)</f>
        <v>18128</v>
      </c>
      <c r="N158">
        <f t="shared" si="7"/>
        <v>0.35922330097087379</v>
      </c>
    </row>
    <row r="159" spans="1:14" x14ac:dyDescent="0.35">
      <c r="A159" t="s">
        <v>74</v>
      </c>
      <c r="B159">
        <v>27</v>
      </c>
      <c r="C159" t="s">
        <v>15</v>
      </c>
      <c r="D159" s="5">
        <v>44982</v>
      </c>
      <c r="E159" s="8">
        <v>0.625</v>
      </c>
      <c r="F159" t="s">
        <v>18</v>
      </c>
      <c r="G159" t="s">
        <v>41</v>
      </c>
      <c r="H159" t="s">
        <v>75</v>
      </c>
      <c r="I159" s="7">
        <v>4922</v>
      </c>
      <c r="J159" t="s">
        <v>44</v>
      </c>
      <c r="K159">
        <v>2023</v>
      </c>
      <c r="L159" s="1">
        <f t="shared" si="6"/>
        <v>27</v>
      </c>
      <c r="M159">
        <f>_xlfn.XLOOKUP(J159,Capacities!$A$2:$A$15,Capacities!$B$2:$B$15)</f>
        <v>6541</v>
      </c>
      <c r="N159">
        <f t="shared" si="7"/>
        <v>0.75248432961320899</v>
      </c>
    </row>
    <row r="160" spans="1:14" x14ac:dyDescent="0.35">
      <c r="A160" t="s">
        <v>74</v>
      </c>
      <c r="B160">
        <v>27</v>
      </c>
      <c r="C160" t="s">
        <v>15</v>
      </c>
      <c r="D160" s="5">
        <v>44982</v>
      </c>
      <c r="E160" s="8">
        <v>0.625</v>
      </c>
      <c r="F160" t="s">
        <v>24</v>
      </c>
      <c r="G160" t="s">
        <v>21</v>
      </c>
      <c r="H160" t="s">
        <v>39</v>
      </c>
      <c r="I160" s="7">
        <v>3828</v>
      </c>
      <c r="J160" t="s">
        <v>27</v>
      </c>
      <c r="K160">
        <v>2023</v>
      </c>
      <c r="L160" s="1">
        <f t="shared" si="6"/>
        <v>27</v>
      </c>
      <c r="M160">
        <f>_xlfn.XLOOKUP(J160,Capacities!$A$2:$A$15,Capacities!$B$2:$B$15)</f>
        <v>10700</v>
      </c>
      <c r="N160">
        <f t="shared" si="7"/>
        <v>0.35775700934579441</v>
      </c>
    </row>
    <row r="161" spans="1:14" x14ac:dyDescent="0.35">
      <c r="A161" t="s">
        <v>74</v>
      </c>
      <c r="B161">
        <v>28</v>
      </c>
      <c r="C161" t="s">
        <v>15</v>
      </c>
      <c r="D161" s="5">
        <v>44989</v>
      </c>
      <c r="E161" s="8">
        <v>0.625</v>
      </c>
      <c r="F161" t="s">
        <v>26</v>
      </c>
      <c r="G161" t="s">
        <v>53</v>
      </c>
      <c r="H161" t="s">
        <v>24</v>
      </c>
      <c r="I161" s="7">
        <v>18596</v>
      </c>
      <c r="J161" t="s">
        <v>50</v>
      </c>
      <c r="K161">
        <v>2023</v>
      </c>
      <c r="L161" s="1">
        <f t="shared" si="6"/>
        <v>28</v>
      </c>
      <c r="M161">
        <f>_xlfn.XLOOKUP(J161,Capacities!$A$2:$A$15,Capacities!$B$2:$B$15)</f>
        <v>19852</v>
      </c>
      <c r="N161">
        <f t="shared" si="7"/>
        <v>0.93673181543421313</v>
      </c>
    </row>
    <row r="162" spans="1:14" x14ac:dyDescent="0.35">
      <c r="A162" t="s">
        <v>74</v>
      </c>
      <c r="B162">
        <v>28</v>
      </c>
      <c r="C162" t="s">
        <v>15</v>
      </c>
      <c r="D162" s="5">
        <v>44989</v>
      </c>
      <c r="E162" s="8">
        <v>0.625</v>
      </c>
      <c r="F162" t="s">
        <v>28</v>
      </c>
      <c r="G162" t="s">
        <v>57</v>
      </c>
      <c r="H162" t="s">
        <v>37</v>
      </c>
      <c r="I162" s="7">
        <v>5531</v>
      </c>
      <c r="J162" t="s">
        <v>31</v>
      </c>
      <c r="K162">
        <v>2023</v>
      </c>
      <c r="L162" s="1">
        <f t="shared" ref="L162:L193" si="8">B162</f>
        <v>28</v>
      </c>
      <c r="M162">
        <f>_xlfn.XLOOKUP(J162,Capacities!$A$2:$A$15,Capacities!$B$2:$B$15)</f>
        <v>9672</v>
      </c>
      <c r="N162">
        <f t="shared" si="7"/>
        <v>0.57185690653432586</v>
      </c>
    </row>
    <row r="163" spans="1:14" x14ac:dyDescent="0.35">
      <c r="A163" t="s">
        <v>74</v>
      </c>
      <c r="B163">
        <v>28</v>
      </c>
      <c r="C163" t="s">
        <v>15</v>
      </c>
      <c r="D163" s="5">
        <v>44989</v>
      </c>
      <c r="E163" s="8">
        <v>0.625</v>
      </c>
      <c r="F163" t="s">
        <v>34</v>
      </c>
      <c r="G163" t="s">
        <v>56</v>
      </c>
      <c r="H163" t="s">
        <v>32</v>
      </c>
      <c r="I163" s="7">
        <v>49545</v>
      </c>
      <c r="J163" t="s">
        <v>42</v>
      </c>
      <c r="K163">
        <v>2023</v>
      </c>
      <c r="L163" s="1">
        <f t="shared" si="8"/>
        <v>28</v>
      </c>
      <c r="M163">
        <f>_xlfn.XLOOKUP(J163,Capacities!$A$2:$A$15,Capacities!$B$2:$B$15)</f>
        <v>51082</v>
      </c>
      <c r="N163">
        <f t="shared" si="7"/>
        <v>0.96991112329196194</v>
      </c>
    </row>
    <row r="164" spans="1:14" x14ac:dyDescent="0.35">
      <c r="A164" t="s">
        <v>74</v>
      </c>
      <c r="B164">
        <v>28</v>
      </c>
      <c r="C164" t="s">
        <v>15</v>
      </c>
      <c r="D164" s="5">
        <v>44989</v>
      </c>
      <c r="E164" s="8">
        <v>0.625</v>
      </c>
      <c r="F164" t="s">
        <v>18</v>
      </c>
      <c r="G164" t="s">
        <v>25</v>
      </c>
      <c r="H164" t="s">
        <v>22</v>
      </c>
      <c r="I164" s="7">
        <v>4091</v>
      </c>
      <c r="J164" t="s">
        <v>44</v>
      </c>
      <c r="K164">
        <v>2023</v>
      </c>
      <c r="L164" s="1">
        <f t="shared" si="8"/>
        <v>28</v>
      </c>
      <c r="M164">
        <f>_xlfn.XLOOKUP(J164,Capacities!$A$2:$A$15,Capacities!$B$2:$B$15)</f>
        <v>6541</v>
      </c>
      <c r="N164">
        <f t="shared" si="7"/>
        <v>0.6254395352392601</v>
      </c>
    </row>
    <row r="165" spans="1:14" x14ac:dyDescent="0.35">
      <c r="A165" t="s">
        <v>74</v>
      </c>
      <c r="B165">
        <v>28</v>
      </c>
      <c r="C165" t="s">
        <v>15</v>
      </c>
      <c r="D165" s="5">
        <v>44989</v>
      </c>
      <c r="E165" s="8">
        <v>0.75</v>
      </c>
      <c r="F165" t="s">
        <v>75</v>
      </c>
      <c r="G165" t="s">
        <v>47</v>
      </c>
      <c r="H165" t="s">
        <v>30</v>
      </c>
      <c r="I165" s="7">
        <v>11048</v>
      </c>
      <c r="J165" t="s">
        <v>76</v>
      </c>
      <c r="K165">
        <v>2023</v>
      </c>
      <c r="L165" s="1">
        <f t="shared" si="8"/>
        <v>28</v>
      </c>
      <c r="M165">
        <f>_xlfn.XLOOKUP(J165,Capacities!$A$2:$A$15,Capacities!$B$2:$B$15)</f>
        <v>14223</v>
      </c>
      <c r="N165">
        <f t="shared" si="7"/>
        <v>0.77677002038950993</v>
      </c>
    </row>
    <row r="166" spans="1:14" x14ac:dyDescent="0.35">
      <c r="A166" t="s">
        <v>74</v>
      </c>
      <c r="B166">
        <v>28</v>
      </c>
      <c r="C166" t="s">
        <v>36</v>
      </c>
      <c r="D166" s="5">
        <v>44990</v>
      </c>
      <c r="E166" s="8">
        <v>0.5</v>
      </c>
      <c r="F166" t="s">
        <v>39</v>
      </c>
      <c r="G166" t="s">
        <v>71</v>
      </c>
      <c r="H166" t="s">
        <v>16</v>
      </c>
      <c r="I166" s="7">
        <v>6939</v>
      </c>
      <c r="J166" t="s">
        <v>46</v>
      </c>
      <c r="K166">
        <v>2023</v>
      </c>
      <c r="L166" s="1">
        <f t="shared" si="8"/>
        <v>28</v>
      </c>
      <c r="M166">
        <f>_xlfn.XLOOKUP(J166,Capacities!$A$2:$A$15,Capacities!$B$2:$B$15)</f>
        <v>8006</v>
      </c>
      <c r="N166">
        <f t="shared" si="7"/>
        <v>0.8667249562827879</v>
      </c>
    </row>
    <row r="167" spans="1:14" x14ac:dyDescent="0.35">
      <c r="A167" t="s">
        <v>74</v>
      </c>
      <c r="B167">
        <v>27</v>
      </c>
      <c r="C167" t="s">
        <v>60</v>
      </c>
      <c r="D167" s="5">
        <v>44993</v>
      </c>
      <c r="E167" s="8">
        <v>0.82291666666666663</v>
      </c>
      <c r="F167" t="s">
        <v>16</v>
      </c>
      <c r="G167" t="s">
        <v>56</v>
      </c>
      <c r="H167" t="s">
        <v>26</v>
      </c>
      <c r="I167" s="7">
        <v>58951</v>
      </c>
      <c r="J167" t="s">
        <v>19</v>
      </c>
      <c r="K167">
        <v>2023</v>
      </c>
      <c r="L167" s="1">
        <f t="shared" si="8"/>
        <v>27</v>
      </c>
      <c r="M167">
        <f>_xlfn.XLOOKUP(J167,Capacities!$A$2:$A$15,Capacities!$B$2:$B$15)</f>
        <v>60500</v>
      </c>
      <c r="N167">
        <f t="shared" si="7"/>
        <v>0.97439669421487607</v>
      </c>
    </row>
    <row r="168" spans="1:14" x14ac:dyDescent="0.35">
      <c r="A168" t="s">
        <v>74</v>
      </c>
      <c r="B168">
        <v>27</v>
      </c>
      <c r="C168" t="s">
        <v>60</v>
      </c>
      <c r="D168" s="5">
        <v>44993</v>
      </c>
      <c r="E168" s="8">
        <v>0.82291666666666663</v>
      </c>
      <c r="F168" t="s">
        <v>37</v>
      </c>
      <c r="G168" t="s">
        <v>57</v>
      </c>
      <c r="H168" t="s">
        <v>34</v>
      </c>
      <c r="I168" s="7">
        <v>19341</v>
      </c>
      <c r="J168" t="s">
        <v>40</v>
      </c>
      <c r="K168">
        <v>2023</v>
      </c>
      <c r="L168" s="1">
        <f t="shared" si="8"/>
        <v>27</v>
      </c>
      <c r="M168">
        <f>_xlfn.XLOOKUP(J168,Capacities!$A$2:$A$15,Capacities!$B$2:$B$15)</f>
        <v>20250</v>
      </c>
      <c r="N168">
        <f t="shared" si="7"/>
        <v>0.95511111111111113</v>
      </c>
    </row>
    <row r="169" spans="1:14" x14ac:dyDescent="0.35">
      <c r="A169" t="s">
        <v>74</v>
      </c>
      <c r="B169">
        <v>17</v>
      </c>
      <c r="C169" t="s">
        <v>60</v>
      </c>
      <c r="D169" s="5">
        <v>44993</v>
      </c>
      <c r="E169" s="8">
        <v>0.82291666666666663</v>
      </c>
      <c r="F169" t="s">
        <v>28</v>
      </c>
      <c r="G169" t="s">
        <v>21</v>
      </c>
      <c r="H169" t="s">
        <v>75</v>
      </c>
      <c r="I169" s="7">
        <v>2115</v>
      </c>
      <c r="J169" t="s">
        <v>31</v>
      </c>
      <c r="K169">
        <v>2023</v>
      </c>
      <c r="L169" s="1">
        <f t="shared" si="8"/>
        <v>17</v>
      </c>
      <c r="M169">
        <f>_xlfn.XLOOKUP(J169,Capacities!$A$2:$A$15,Capacities!$B$2:$B$15)</f>
        <v>9672</v>
      </c>
      <c r="N169">
        <f t="shared" si="7"/>
        <v>0.21867245657568238</v>
      </c>
    </row>
    <row r="170" spans="1:14" x14ac:dyDescent="0.35">
      <c r="A170" t="s">
        <v>74</v>
      </c>
      <c r="B170">
        <v>29</v>
      </c>
      <c r="C170" t="s">
        <v>15</v>
      </c>
      <c r="D170" s="5">
        <v>45003</v>
      </c>
      <c r="E170" s="8">
        <v>0.52083333333333337</v>
      </c>
      <c r="F170" t="s">
        <v>22</v>
      </c>
      <c r="G170" t="s">
        <v>61</v>
      </c>
      <c r="H170" t="s">
        <v>34</v>
      </c>
      <c r="I170" s="7">
        <v>8610</v>
      </c>
      <c r="J170" t="s">
        <v>49</v>
      </c>
      <c r="K170">
        <v>2023</v>
      </c>
      <c r="L170" s="1">
        <f t="shared" si="8"/>
        <v>29</v>
      </c>
      <c r="M170">
        <f>_xlfn.XLOOKUP(J170,Capacities!$A$2:$A$15,Capacities!$B$2:$B$15)</f>
        <v>13750</v>
      </c>
      <c r="N170">
        <f t="shared" si="7"/>
        <v>0.62618181818181817</v>
      </c>
    </row>
    <row r="171" spans="1:14" x14ac:dyDescent="0.35">
      <c r="A171" t="s">
        <v>74</v>
      </c>
      <c r="B171">
        <v>29</v>
      </c>
      <c r="C171" t="s">
        <v>15</v>
      </c>
      <c r="D171" s="5">
        <v>45003</v>
      </c>
      <c r="E171" s="8">
        <v>0.625</v>
      </c>
      <c r="F171" t="s">
        <v>30</v>
      </c>
      <c r="G171" t="s">
        <v>53</v>
      </c>
      <c r="H171" t="s">
        <v>26</v>
      </c>
      <c r="I171" s="7">
        <v>16278</v>
      </c>
      <c r="J171" t="s">
        <v>48</v>
      </c>
      <c r="K171">
        <v>2023</v>
      </c>
      <c r="L171" s="1">
        <f t="shared" si="8"/>
        <v>29</v>
      </c>
      <c r="M171">
        <f>_xlfn.XLOOKUP(J171,Capacities!$A$2:$A$15,Capacities!$B$2:$B$15)</f>
        <v>21412</v>
      </c>
      <c r="N171">
        <f t="shared" si="7"/>
        <v>0.76022790958341113</v>
      </c>
    </row>
    <row r="172" spans="1:14" x14ac:dyDescent="0.35">
      <c r="A172" t="s">
        <v>74</v>
      </c>
      <c r="B172">
        <v>29</v>
      </c>
      <c r="C172" t="s">
        <v>15</v>
      </c>
      <c r="D172" s="5">
        <v>45003</v>
      </c>
      <c r="E172" s="8">
        <v>0.625</v>
      </c>
      <c r="F172" t="s">
        <v>16</v>
      </c>
      <c r="G172" t="s">
        <v>56</v>
      </c>
      <c r="H172" t="s">
        <v>37</v>
      </c>
      <c r="I172" s="7">
        <v>59156</v>
      </c>
      <c r="J172" t="s">
        <v>19</v>
      </c>
      <c r="K172">
        <v>2023</v>
      </c>
      <c r="L172" s="1">
        <f t="shared" si="8"/>
        <v>29</v>
      </c>
      <c r="M172">
        <f>_xlfn.XLOOKUP(J172,Capacities!$A$2:$A$15,Capacities!$B$2:$B$15)</f>
        <v>60500</v>
      </c>
      <c r="N172">
        <f t="shared" si="7"/>
        <v>0.97778512396694217</v>
      </c>
    </row>
    <row r="173" spans="1:14" x14ac:dyDescent="0.35">
      <c r="A173" t="s">
        <v>74</v>
      </c>
      <c r="B173">
        <v>29</v>
      </c>
      <c r="C173" t="s">
        <v>15</v>
      </c>
      <c r="D173" s="5">
        <v>45003</v>
      </c>
      <c r="E173" s="8">
        <v>0.625</v>
      </c>
      <c r="F173" t="s">
        <v>75</v>
      </c>
      <c r="G173" t="s">
        <v>21</v>
      </c>
      <c r="H173" t="s">
        <v>39</v>
      </c>
      <c r="I173" s="7">
        <v>8131</v>
      </c>
      <c r="J173" t="s">
        <v>76</v>
      </c>
      <c r="K173">
        <v>2023</v>
      </c>
      <c r="L173" s="1">
        <f t="shared" si="8"/>
        <v>29</v>
      </c>
      <c r="M173">
        <f>_xlfn.XLOOKUP(J173,Capacities!$A$2:$A$15,Capacities!$B$2:$B$15)</f>
        <v>14223</v>
      </c>
      <c r="N173">
        <f t="shared" si="7"/>
        <v>0.57167967376784079</v>
      </c>
    </row>
    <row r="174" spans="1:14" x14ac:dyDescent="0.35">
      <c r="A174" t="s">
        <v>74</v>
      </c>
      <c r="B174">
        <v>29</v>
      </c>
      <c r="C174" t="s">
        <v>15</v>
      </c>
      <c r="D174" s="5">
        <v>45003</v>
      </c>
      <c r="E174" s="8">
        <v>0.625</v>
      </c>
      <c r="F174" t="s">
        <v>32</v>
      </c>
      <c r="G174" t="s">
        <v>21</v>
      </c>
      <c r="H174" t="s">
        <v>24</v>
      </c>
      <c r="I174" s="7">
        <v>4889</v>
      </c>
      <c r="J174" t="s">
        <v>35</v>
      </c>
      <c r="K174">
        <v>2023</v>
      </c>
      <c r="L174" s="1">
        <f t="shared" si="8"/>
        <v>29</v>
      </c>
      <c r="M174">
        <f>_xlfn.XLOOKUP(J174,Capacities!$A$2:$A$15,Capacities!$B$2:$B$15)</f>
        <v>18128</v>
      </c>
      <c r="N174">
        <f t="shared" si="7"/>
        <v>0.26969329214474846</v>
      </c>
    </row>
    <row r="175" spans="1:14" x14ac:dyDescent="0.35">
      <c r="A175" t="s">
        <v>74</v>
      </c>
      <c r="B175">
        <v>29</v>
      </c>
      <c r="C175" t="s">
        <v>15</v>
      </c>
      <c r="D175" s="5">
        <v>45003</v>
      </c>
      <c r="E175" s="8">
        <v>0.625</v>
      </c>
      <c r="F175" t="s">
        <v>28</v>
      </c>
      <c r="G175" t="s">
        <v>45</v>
      </c>
      <c r="H175" t="s">
        <v>18</v>
      </c>
      <c r="I175" s="7">
        <v>1283</v>
      </c>
      <c r="J175" t="s">
        <v>31</v>
      </c>
      <c r="K175">
        <v>2023</v>
      </c>
      <c r="L175" s="1">
        <f t="shared" si="8"/>
        <v>29</v>
      </c>
      <c r="M175">
        <f>_xlfn.XLOOKUP(J175,Capacities!$A$2:$A$15,Capacities!$B$2:$B$15)</f>
        <v>9672</v>
      </c>
      <c r="N175">
        <f t="shared" si="7"/>
        <v>0.13265095119933829</v>
      </c>
    </row>
    <row r="176" spans="1:14" x14ac:dyDescent="0.35">
      <c r="A176" t="s">
        <v>74</v>
      </c>
      <c r="B176">
        <v>30</v>
      </c>
      <c r="C176" t="s">
        <v>15</v>
      </c>
      <c r="D176" s="5">
        <v>45017</v>
      </c>
      <c r="E176" s="8">
        <v>0.625</v>
      </c>
      <c r="F176" t="s">
        <v>37</v>
      </c>
      <c r="G176" t="s">
        <v>47</v>
      </c>
      <c r="H176" t="s">
        <v>22</v>
      </c>
      <c r="I176" s="7">
        <v>16598</v>
      </c>
      <c r="J176" t="s">
        <v>40</v>
      </c>
      <c r="K176">
        <v>2023</v>
      </c>
      <c r="L176" s="1">
        <f t="shared" si="8"/>
        <v>30</v>
      </c>
      <c r="M176">
        <f>_xlfn.XLOOKUP(J176,Capacities!$A$2:$A$15,Capacities!$B$2:$B$15)</f>
        <v>20250</v>
      </c>
      <c r="N176">
        <f t="shared" si="7"/>
        <v>0.81965432098765434</v>
      </c>
    </row>
    <row r="177" spans="1:14" x14ac:dyDescent="0.35">
      <c r="A177" t="s">
        <v>74</v>
      </c>
      <c r="B177">
        <v>30</v>
      </c>
      <c r="C177" t="s">
        <v>15</v>
      </c>
      <c r="D177" s="5">
        <v>45017</v>
      </c>
      <c r="E177" s="8">
        <v>0.625</v>
      </c>
      <c r="F177" t="s">
        <v>32</v>
      </c>
      <c r="G177" t="s">
        <v>45</v>
      </c>
      <c r="H177" t="s">
        <v>26</v>
      </c>
      <c r="I177" s="7">
        <v>7237</v>
      </c>
      <c r="J177" t="s">
        <v>35</v>
      </c>
      <c r="K177">
        <v>2023</v>
      </c>
      <c r="L177" s="1">
        <f t="shared" si="8"/>
        <v>30</v>
      </c>
      <c r="M177">
        <f>_xlfn.XLOOKUP(J177,Capacities!$A$2:$A$15,Capacities!$B$2:$B$15)</f>
        <v>18128</v>
      </c>
      <c r="N177">
        <f t="shared" si="7"/>
        <v>0.39921668137687555</v>
      </c>
    </row>
    <row r="178" spans="1:14" x14ac:dyDescent="0.35">
      <c r="A178" t="s">
        <v>74</v>
      </c>
      <c r="B178">
        <v>30</v>
      </c>
      <c r="C178" t="s">
        <v>15</v>
      </c>
      <c r="D178" s="5">
        <v>45017</v>
      </c>
      <c r="E178" s="8">
        <v>0.625</v>
      </c>
      <c r="F178" t="s">
        <v>34</v>
      </c>
      <c r="G178" t="s">
        <v>43</v>
      </c>
      <c r="H178" t="s">
        <v>75</v>
      </c>
      <c r="I178" s="7">
        <v>49969</v>
      </c>
      <c r="J178" t="s">
        <v>42</v>
      </c>
      <c r="K178">
        <v>2023</v>
      </c>
      <c r="L178" s="1">
        <f t="shared" si="8"/>
        <v>30</v>
      </c>
      <c r="M178">
        <f>_xlfn.XLOOKUP(J178,Capacities!$A$2:$A$15,Capacities!$B$2:$B$15)</f>
        <v>51082</v>
      </c>
      <c r="N178">
        <f t="shared" si="7"/>
        <v>0.9782115030734897</v>
      </c>
    </row>
    <row r="179" spans="1:14" x14ac:dyDescent="0.35">
      <c r="A179" t="s">
        <v>74</v>
      </c>
      <c r="B179">
        <v>30</v>
      </c>
      <c r="C179" t="s">
        <v>15</v>
      </c>
      <c r="D179" s="5">
        <v>45017</v>
      </c>
      <c r="E179" s="8">
        <v>0.625</v>
      </c>
      <c r="F179" t="s">
        <v>24</v>
      </c>
      <c r="G179" t="s">
        <v>52</v>
      </c>
      <c r="H179" t="s">
        <v>30</v>
      </c>
      <c r="I179" s="7">
        <v>6001</v>
      </c>
      <c r="J179" t="s">
        <v>27</v>
      </c>
      <c r="K179">
        <v>2023</v>
      </c>
      <c r="L179" s="1">
        <f t="shared" si="8"/>
        <v>30</v>
      </c>
      <c r="M179">
        <f>_xlfn.XLOOKUP(J179,Capacities!$A$2:$A$15,Capacities!$B$2:$B$15)</f>
        <v>10700</v>
      </c>
      <c r="N179">
        <f t="shared" si="7"/>
        <v>0.56084112149532706</v>
      </c>
    </row>
    <row r="180" spans="1:14" x14ac:dyDescent="0.35">
      <c r="A180" t="s">
        <v>74</v>
      </c>
      <c r="B180">
        <v>30</v>
      </c>
      <c r="C180" t="s">
        <v>15</v>
      </c>
      <c r="D180" s="5">
        <v>45017</v>
      </c>
      <c r="E180" s="8">
        <v>0.625</v>
      </c>
      <c r="F180" t="s">
        <v>39</v>
      </c>
      <c r="G180" t="s">
        <v>53</v>
      </c>
      <c r="H180" t="s">
        <v>28</v>
      </c>
      <c r="I180" s="7">
        <v>5984</v>
      </c>
      <c r="J180" t="s">
        <v>46</v>
      </c>
      <c r="K180">
        <v>2023</v>
      </c>
      <c r="L180" s="1">
        <f t="shared" si="8"/>
        <v>30</v>
      </c>
      <c r="M180">
        <f>_xlfn.XLOOKUP(J180,Capacities!$A$2:$A$15,Capacities!$B$2:$B$15)</f>
        <v>8006</v>
      </c>
      <c r="N180">
        <f t="shared" si="7"/>
        <v>0.74743942043467404</v>
      </c>
    </row>
    <row r="181" spans="1:14" x14ac:dyDescent="0.35">
      <c r="A181" t="s">
        <v>74</v>
      </c>
      <c r="B181">
        <v>30</v>
      </c>
      <c r="C181" t="s">
        <v>36</v>
      </c>
      <c r="D181" s="5">
        <v>45018</v>
      </c>
      <c r="E181" s="8">
        <v>0.5</v>
      </c>
      <c r="F181" t="s">
        <v>18</v>
      </c>
      <c r="G181" t="s">
        <v>25</v>
      </c>
      <c r="H181" t="s">
        <v>16</v>
      </c>
      <c r="I181" s="7">
        <v>6690</v>
      </c>
      <c r="J181" t="s">
        <v>44</v>
      </c>
      <c r="K181">
        <v>2023</v>
      </c>
      <c r="L181" s="1">
        <f t="shared" si="8"/>
        <v>30</v>
      </c>
      <c r="M181">
        <f>_xlfn.XLOOKUP(J181,Capacities!$A$2:$A$15,Capacities!$B$2:$B$15)</f>
        <v>6541</v>
      </c>
      <c r="N181">
        <f t="shared" si="7"/>
        <v>1.0227793915303471</v>
      </c>
    </row>
    <row r="182" spans="1:14" x14ac:dyDescent="0.35">
      <c r="A182" t="s">
        <v>74</v>
      </c>
      <c r="B182">
        <v>31</v>
      </c>
      <c r="C182" t="s">
        <v>15</v>
      </c>
      <c r="D182" s="5">
        <v>45024</v>
      </c>
      <c r="E182" s="8">
        <v>0.52083333333333337</v>
      </c>
      <c r="F182" t="s">
        <v>16</v>
      </c>
      <c r="G182" t="s">
        <v>65</v>
      </c>
      <c r="H182" t="s">
        <v>34</v>
      </c>
      <c r="I182" s="7">
        <v>59646</v>
      </c>
      <c r="J182" t="s">
        <v>19</v>
      </c>
      <c r="K182">
        <v>2023</v>
      </c>
      <c r="L182" s="1">
        <f t="shared" si="8"/>
        <v>31</v>
      </c>
      <c r="M182">
        <f>_xlfn.XLOOKUP(J182,Capacities!$A$2:$A$15,Capacities!$B$2:$B$15)</f>
        <v>60500</v>
      </c>
      <c r="N182">
        <f t="shared" si="7"/>
        <v>0.9858842975206612</v>
      </c>
    </row>
    <row r="183" spans="1:14" x14ac:dyDescent="0.35">
      <c r="A183" t="s">
        <v>74</v>
      </c>
      <c r="B183">
        <v>31</v>
      </c>
      <c r="C183" t="s">
        <v>15</v>
      </c>
      <c r="D183" s="5">
        <v>45024</v>
      </c>
      <c r="E183" s="8">
        <v>0.625</v>
      </c>
      <c r="F183" t="s">
        <v>30</v>
      </c>
      <c r="G183" t="s">
        <v>43</v>
      </c>
      <c r="H183" t="s">
        <v>32</v>
      </c>
      <c r="I183" s="7">
        <v>16248</v>
      </c>
      <c r="J183" t="s">
        <v>48</v>
      </c>
      <c r="K183">
        <v>2023</v>
      </c>
      <c r="L183" s="1">
        <f t="shared" si="8"/>
        <v>31</v>
      </c>
      <c r="M183">
        <f>_xlfn.XLOOKUP(J183,Capacities!$A$2:$A$15,Capacities!$B$2:$B$15)</f>
        <v>21412</v>
      </c>
      <c r="N183">
        <f t="shared" si="7"/>
        <v>0.75882682607883434</v>
      </c>
    </row>
    <row r="184" spans="1:14" x14ac:dyDescent="0.35">
      <c r="A184" t="s">
        <v>74</v>
      </c>
      <c r="B184">
        <v>31</v>
      </c>
      <c r="C184" t="s">
        <v>15</v>
      </c>
      <c r="D184" s="5">
        <v>45024</v>
      </c>
      <c r="E184" s="8">
        <v>0.625</v>
      </c>
      <c r="F184" t="s">
        <v>26</v>
      </c>
      <c r="G184" t="s">
        <v>25</v>
      </c>
      <c r="H184" t="s">
        <v>39</v>
      </c>
      <c r="I184" s="7">
        <v>18660</v>
      </c>
      <c r="J184" t="s">
        <v>50</v>
      </c>
      <c r="K184">
        <v>2023</v>
      </c>
      <c r="L184" s="1">
        <f t="shared" si="8"/>
        <v>31</v>
      </c>
      <c r="M184">
        <f>_xlfn.XLOOKUP(J184,Capacities!$A$2:$A$15,Capacities!$B$2:$B$15)</f>
        <v>19852</v>
      </c>
      <c r="N184">
        <f t="shared" si="7"/>
        <v>0.93995567197259722</v>
      </c>
    </row>
    <row r="185" spans="1:14" x14ac:dyDescent="0.35">
      <c r="A185" t="s">
        <v>74</v>
      </c>
      <c r="B185">
        <v>31</v>
      </c>
      <c r="C185" t="s">
        <v>15</v>
      </c>
      <c r="D185" s="5">
        <v>45024</v>
      </c>
      <c r="E185" s="8">
        <v>0.625</v>
      </c>
      <c r="F185" t="s">
        <v>22</v>
      </c>
      <c r="G185" t="s">
        <v>53</v>
      </c>
      <c r="H185" t="s">
        <v>28</v>
      </c>
      <c r="I185" s="7">
        <v>4566</v>
      </c>
      <c r="J185" t="s">
        <v>49</v>
      </c>
      <c r="K185">
        <v>2023</v>
      </c>
      <c r="L185" s="1">
        <f t="shared" si="8"/>
        <v>31</v>
      </c>
      <c r="M185">
        <f>_xlfn.XLOOKUP(J185,Capacities!$A$2:$A$15,Capacities!$B$2:$B$15)</f>
        <v>13750</v>
      </c>
      <c r="N185">
        <f t="shared" si="7"/>
        <v>0.3320727272727273</v>
      </c>
    </row>
    <row r="186" spans="1:14" x14ac:dyDescent="0.35">
      <c r="A186" t="s">
        <v>74</v>
      </c>
      <c r="B186">
        <v>31</v>
      </c>
      <c r="C186" t="s">
        <v>15</v>
      </c>
      <c r="D186" s="5">
        <v>45024</v>
      </c>
      <c r="E186" s="8">
        <v>0.625</v>
      </c>
      <c r="F186" t="s">
        <v>24</v>
      </c>
      <c r="G186" t="s">
        <v>25</v>
      </c>
      <c r="H186" t="s">
        <v>18</v>
      </c>
      <c r="I186" s="7">
        <v>3027</v>
      </c>
      <c r="J186" t="s">
        <v>27</v>
      </c>
      <c r="K186">
        <v>2023</v>
      </c>
      <c r="L186" s="1">
        <f t="shared" si="8"/>
        <v>31</v>
      </c>
      <c r="M186">
        <f>_xlfn.XLOOKUP(J186,Capacities!$A$2:$A$15,Capacities!$B$2:$B$15)</f>
        <v>10700</v>
      </c>
      <c r="N186">
        <f t="shared" si="7"/>
        <v>0.28289719626168225</v>
      </c>
    </row>
    <row r="187" spans="1:14" x14ac:dyDescent="0.35">
      <c r="A187" t="s">
        <v>74</v>
      </c>
      <c r="B187">
        <v>31</v>
      </c>
      <c r="C187" t="s">
        <v>36</v>
      </c>
      <c r="D187" s="5">
        <v>45025</v>
      </c>
      <c r="E187" s="8">
        <v>0.5</v>
      </c>
      <c r="F187" t="s">
        <v>75</v>
      </c>
      <c r="G187" t="s">
        <v>45</v>
      </c>
      <c r="H187" t="s">
        <v>37</v>
      </c>
      <c r="I187" s="7">
        <v>9516</v>
      </c>
      <c r="J187" t="s">
        <v>76</v>
      </c>
      <c r="K187">
        <v>2023</v>
      </c>
      <c r="L187" s="1">
        <f t="shared" si="8"/>
        <v>31</v>
      </c>
      <c r="M187">
        <f>_xlfn.XLOOKUP(J187,Capacities!$A$2:$A$15,Capacities!$B$2:$B$15)</f>
        <v>14223</v>
      </c>
      <c r="N187">
        <f t="shared" si="7"/>
        <v>0.66905716093651124</v>
      </c>
    </row>
    <row r="188" spans="1:14" x14ac:dyDescent="0.35">
      <c r="A188" t="s">
        <v>74</v>
      </c>
      <c r="B188">
        <v>32</v>
      </c>
      <c r="C188" t="s">
        <v>79</v>
      </c>
      <c r="D188" s="5">
        <v>45030</v>
      </c>
      <c r="E188" s="8">
        <v>0.82291666666666663</v>
      </c>
      <c r="F188" t="s">
        <v>18</v>
      </c>
      <c r="G188" t="s">
        <v>52</v>
      </c>
      <c r="H188" t="s">
        <v>30</v>
      </c>
      <c r="I188" s="7">
        <v>6619</v>
      </c>
      <c r="J188" t="s">
        <v>44</v>
      </c>
      <c r="K188">
        <v>2023</v>
      </c>
      <c r="L188" s="1">
        <f t="shared" si="8"/>
        <v>32</v>
      </c>
      <c r="M188">
        <f>_xlfn.XLOOKUP(J188,Capacities!$A$2:$A$15,Capacities!$B$2:$B$15)</f>
        <v>6541</v>
      </c>
      <c r="N188">
        <f t="shared" si="7"/>
        <v>1.0119247821434032</v>
      </c>
    </row>
    <row r="189" spans="1:14" x14ac:dyDescent="0.35">
      <c r="A189" t="s">
        <v>74</v>
      </c>
      <c r="B189">
        <v>32</v>
      </c>
      <c r="C189" t="s">
        <v>15</v>
      </c>
      <c r="D189" s="5">
        <v>45031</v>
      </c>
      <c r="E189" s="8">
        <v>0.52083333333333337</v>
      </c>
      <c r="F189" t="s">
        <v>37</v>
      </c>
      <c r="G189" t="s">
        <v>33</v>
      </c>
      <c r="H189" t="s">
        <v>26</v>
      </c>
      <c r="I189" s="7">
        <v>20132</v>
      </c>
      <c r="J189" t="s">
        <v>40</v>
      </c>
      <c r="K189">
        <v>2023</v>
      </c>
      <c r="L189" s="1">
        <f t="shared" si="8"/>
        <v>32</v>
      </c>
      <c r="M189">
        <f>_xlfn.XLOOKUP(J189,Capacities!$A$2:$A$15,Capacities!$B$2:$B$15)</f>
        <v>20250</v>
      </c>
      <c r="N189">
        <f t="shared" si="7"/>
        <v>0.99417283950617286</v>
      </c>
    </row>
    <row r="190" spans="1:14" x14ac:dyDescent="0.35">
      <c r="A190" t="s">
        <v>74</v>
      </c>
      <c r="B190">
        <v>32</v>
      </c>
      <c r="C190" t="s">
        <v>15</v>
      </c>
      <c r="D190" s="5">
        <v>45031</v>
      </c>
      <c r="E190" s="8">
        <v>0.625</v>
      </c>
      <c r="F190" t="s">
        <v>28</v>
      </c>
      <c r="G190" t="s">
        <v>43</v>
      </c>
      <c r="H190" t="s">
        <v>24</v>
      </c>
      <c r="I190" s="7">
        <v>3976</v>
      </c>
      <c r="J190" t="s">
        <v>31</v>
      </c>
      <c r="K190">
        <v>2023</v>
      </c>
      <c r="L190" s="1">
        <f t="shared" si="8"/>
        <v>32</v>
      </c>
      <c r="M190">
        <f>_xlfn.XLOOKUP(J190,Capacities!$A$2:$A$15,Capacities!$B$2:$B$15)</f>
        <v>9672</v>
      </c>
      <c r="N190">
        <f t="shared" si="7"/>
        <v>0.41108354011579817</v>
      </c>
    </row>
    <row r="191" spans="1:14" x14ac:dyDescent="0.35">
      <c r="A191" t="s">
        <v>74</v>
      </c>
      <c r="B191">
        <v>32</v>
      </c>
      <c r="C191" t="s">
        <v>15</v>
      </c>
      <c r="D191" s="5">
        <v>45031</v>
      </c>
      <c r="E191" s="8">
        <v>0.625</v>
      </c>
      <c r="F191" t="s">
        <v>22</v>
      </c>
      <c r="G191" t="s">
        <v>55</v>
      </c>
      <c r="H191" t="s">
        <v>75</v>
      </c>
      <c r="I191" s="7">
        <v>6391</v>
      </c>
      <c r="J191" t="s">
        <v>49</v>
      </c>
      <c r="K191">
        <v>2023</v>
      </c>
      <c r="L191" s="1">
        <f t="shared" si="8"/>
        <v>32</v>
      </c>
      <c r="M191">
        <f>_xlfn.XLOOKUP(J191,Capacities!$A$2:$A$15,Capacities!$B$2:$B$15)</f>
        <v>13750</v>
      </c>
      <c r="N191">
        <f t="shared" si="7"/>
        <v>0.46479999999999999</v>
      </c>
    </row>
    <row r="192" spans="1:14" x14ac:dyDescent="0.35">
      <c r="A192" t="s">
        <v>74</v>
      </c>
      <c r="B192">
        <v>32</v>
      </c>
      <c r="C192" t="s">
        <v>15</v>
      </c>
      <c r="D192" s="5">
        <v>45031</v>
      </c>
      <c r="E192" s="8">
        <v>0.625</v>
      </c>
      <c r="F192" t="s">
        <v>34</v>
      </c>
      <c r="G192" t="s">
        <v>68</v>
      </c>
      <c r="H192" t="s">
        <v>39</v>
      </c>
      <c r="I192" s="7">
        <v>48703</v>
      </c>
      <c r="J192" t="s">
        <v>42</v>
      </c>
      <c r="K192">
        <v>2023</v>
      </c>
      <c r="L192" s="1">
        <f t="shared" si="8"/>
        <v>32</v>
      </c>
      <c r="M192">
        <f>_xlfn.XLOOKUP(J192,Capacities!$A$2:$A$15,Capacities!$B$2:$B$15)</f>
        <v>51082</v>
      </c>
      <c r="N192">
        <f t="shared" si="7"/>
        <v>0.95342782193336206</v>
      </c>
    </row>
    <row r="193" spans="1:14" x14ac:dyDescent="0.35">
      <c r="A193" t="s">
        <v>74</v>
      </c>
      <c r="B193">
        <v>32</v>
      </c>
      <c r="C193" t="s">
        <v>36</v>
      </c>
      <c r="D193" s="5">
        <v>45032</v>
      </c>
      <c r="E193" s="8">
        <v>0.5</v>
      </c>
      <c r="F193" t="s">
        <v>32</v>
      </c>
      <c r="G193" t="s">
        <v>57</v>
      </c>
      <c r="H193" t="s">
        <v>16</v>
      </c>
      <c r="I193" s="7">
        <v>8201</v>
      </c>
      <c r="J193" t="s">
        <v>35</v>
      </c>
      <c r="K193">
        <v>2023</v>
      </c>
      <c r="L193" s="1">
        <f t="shared" si="8"/>
        <v>32</v>
      </c>
      <c r="M193">
        <f>_xlfn.XLOOKUP(J193,Capacities!$A$2:$A$15,Capacities!$B$2:$B$15)</f>
        <v>18128</v>
      </c>
      <c r="N193">
        <f t="shared" si="7"/>
        <v>0.45239408649602825</v>
      </c>
    </row>
    <row r="194" spans="1:14" x14ac:dyDescent="0.35">
      <c r="A194" t="s">
        <v>74</v>
      </c>
      <c r="B194">
        <v>33</v>
      </c>
      <c r="C194" t="s">
        <v>15</v>
      </c>
      <c r="D194" s="5">
        <v>45038</v>
      </c>
      <c r="E194" s="8">
        <v>0.52083333333333337</v>
      </c>
      <c r="F194" t="s">
        <v>26</v>
      </c>
      <c r="G194" t="s">
        <v>78</v>
      </c>
      <c r="H194" t="s">
        <v>18</v>
      </c>
      <c r="I194" s="7">
        <v>18316</v>
      </c>
      <c r="J194" t="s">
        <v>50</v>
      </c>
      <c r="K194">
        <v>2023</v>
      </c>
      <c r="L194" s="1">
        <f>B194</f>
        <v>33</v>
      </c>
      <c r="M194">
        <f>_xlfn.XLOOKUP(J194,Capacities!$A$2:$A$15,Capacities!$B$2:$B$15)</f>
        <v>19852</v>
      </c>
      <c r="N194">
        <f t="shared" ref="N194:N229" si="9">I194/M194</f>
        <v>0.92262744307878297</v>
      </c>
    </row>
    <row r="195" spans="1:14" x14ac:dyDescent="0.35">
      <c r="A195" t="s">
        <v>74</v>
      </c>
      <c r="B195">
        <v>33</v>
      </c>
      <c r="C195" t="s">
        <v>15</v>
      </c>
      <c r="D195" s="5">
        <v>45038</v>
      </c>
      <c r="E195" s="8">
        <v>0.625</v>
      </c>
      <c r="F195" t="s">
        <v>16</v>
      </c>
      <c r="G195" t="s">
        <v>21</v>
      </c>
      <c r="H195" t="s">
        <v>22</v>
      </c>
      <c r="I195" s="7">
        <v>58145</v>
      </c>
      <c r="J195" t="s">
        <v>19</v>
      </c>
      <c r="K195">
        <v>2023</v>
      </c>
      <c r="L195" s="1">
        <f t="shared" ref="L195:L199" si="10">B195</f>
        <v>33</v>
      </c>
      <c r="M195">
        <f>_xlfn.XLOOKUP(J195,Capacities!$A$2:$A$15,Capacities!$B$2:$B$15)</f>
        <v>60500</v>
      </c>
      <c r="N195">
        <f t="shared" si="9"/>
        <v>0.96107438016528923</v>
      </c>
    </row>
    <row r="196" spans="1:14" x14ac:dyDescent="0.35">
      <c r="A196" t="s">
        <v>74</v>
      </c>
      <c r="B196">
        <v>33</v>
      </c>
      <c r="C196" t="s">
        <v>15</v>
      </c>
      <c r="D196" s="5">
        <v>45038</v>
      </c>
      <c r="E196" s="8">
        <v>0.625</v>
      </c>
      <c r="F196" t="s">
        <v>75</v>
      </c>
      <c r="G196" t="s">
        <v>43</v>
      </c>
      <c r="H196" t="s">
        <v>28</v>
      </c>
      <c r="I196" s="7">
        <v>8034</v>
      </c>
      <c r="J196" t="s">
        <v>76</v>
      </c>
      <c r="K196">
        <v>2023</v>
      </c>
      <c r="L196" s="1">
        <f t="shared" si="10"/>
        <v>33</v>
      </c>
      <c r="M196">
        <f>_xlfn.XLOOKUP(J196,Capacities!$A$2:$A$15,Capacities!$B$2:$B$15)</f>
        <v>14223</v>
      </c>
      <c r="N196">
        <f t="shared" si="9"/>
        <v>0.56485973423328417</v>
      </c>
    </row>
    <row r="197" spans="1:14" x14ac:dyDescent="0.35">
      <c r="A197" t="s">
        <v>74</v>
      </c>
      <c r="B197">
        <v>33</v>
      </c>
      <c r="C197" t="s">
        <v>15</v>
      </c>
      <c r="D197" s="5">
        <v>45038</v>
      </c>
      <c r="E197" s="8">
        <v>0.625</v>
      </c>
      <c r="F197" t="s">
        <v>24</v>
      </c>
      <c r="G197" t="s">
        <v>21</v>
      </c>
      <c r="H197" t="s">
        <v>37</v>
      </c>
      <c r="I197" s="7">
        <v>6787</v>
      </c>
      <c r="J197" t="s">
        <v>27</v>
      </c>
      <c r="K197">
        <v>2023</v>
      </c>
      <c r="L197" s="1">
        <f t="shared" si="10"/>
        <v>33</v>
      </c>
      <c r="M197">
        <f>_xlfn.XLOOKUP(J197,Capacities!$A$2:$A$15,Capacities!$B$2:$B$15)</f>
        <v>10700</v>
      </c>
      <c r="N197">
        <f t="shared" si="9"/>
        <v>0.63429906542056069</v>
      </c>
    </row>
    <row r="198" spans="1:14" x14ac:dyDescent="0.35">
      <c r="A198" t="s">
        <v>74</v>
      </c>
      <c r="B198">
        <v>33</v>
      </c>
      <c r="C198" t="s">
        <v>15</v>
      </c>
      <c r="D198" s="5">
        <v>45038</v>
      </c>
      <c r="E198" s="8">
        <v>0.625</v>
      </c>
      <c r="F198" t="s">
        <v>39</v>
      </c>
      <c r="G198" t="s">
        <v>25</v>
      </c>
      <c r="H198" t="s">
        <v>32</v>
      </c>
      <c r="I198" s="7">
        <v>7937</v>
      </c>
      <c r="J198" t="s">
        <v>46</v>
      </c>
      <c r="K198">
        <v>2023</v>
      </c>
      <c r="L198" s="1">
        <f t="shared" si="10"/>
        <v>33</v>
      </c>
      <c r="M198">
        <f>_xlfn.XLOOKUP(J198,Capacities!$A$2:$A$15,Capacities!$B$2:$B$15)</f>
        <v>8006</v>
      </c>
      <c r="N198">
        <f t="shared" si="9"/>
        <v>0.99138146390207349</v>
      </c>
    </row>
    <row r="199" spans="1:14" x14ac:dyDescent="0.35">
      <c r="A199" t="s">
        <v>74</v>
      </c>
      <c r="B199">
        <v>33</v>
      </c>
      <c r="C199" t="s">
        <v>36</v>
      </c>
      <c r="D199" s="5">
        <v>45039</v>
      </c>
      <c r="E199" s="8">
        <v>0.6875</v>
      </c>
      <c r="F199" t="s">
        <v>30</v>
      </c>
      <c r="G199" t="s">
        <v>43</v>
      </c>
      <c r="H199" t="s">
        <v>34</v>
      </c>
      <c r="I199" s="7">
        <v>18666</v>
      </c>
      <c r="J199" t="s">
        <v>48</v>
      </c>
      <c r="K199">
        <v>2023</v>
      </c>
      <c r="L199" s="1">
        <f t="shared" si="10"/>
        <v>33</v>
      </c>
      <c r="M199">
        <f>_xlfn.XLOOKUP(J199,Capacities!$A$2:$A$15,Capacities!$B$2:$B$15)</f>
        <v>21412</v>
      </c>
      <c r="N199">
        <f t="shared" si="9"/>
        <v>0.87175415654773025</v>
      </c>
    </row>
    <row r="200" spans="1:14" x14ac:dyDescent="0.35">
      <c r="A200" t="s">
        <v>83</v>
      </c>
      <c r="B200">
        <v>1</v>
      </c>
      <c r="C200" t="s">
        <v>15</v>
      </c>
      <c r="D200" s="5">
        <v>45052</v>
      </c>
      <c r="E200" s="8">
        <v>0.625</v>
      </c>
      <c r="F200" t="s">
        <v>37</v>
      </c>
      <c r="G200" t="s">
        <v>45</v>
      </c>
      <c r="H200" t="s">
        <v>39</v>
      </c>
      <c r="I200" s="7">
        <v>16334</v>
      </c>
      <c r="J200" t="s">
        <v>40</v>
      </c>
      <c r="K200">
        <v>2023</v>
      </c>
      <c r="L200" s="1">
        <f t="shared" ref="L194:L229" si="11">B200+33</f>
        <v>34</v>
      </c>
      <c r="M200">
        <f>_xlfn.XLOOKUP(J200,Capacities!$A$2:$A$15,Capacities!$B$2:$B$15)</f>
        <v>20250</v>
      </c>
      <c r="N200">
        <f t="shared" si="9"/>
        <v>0.80661728395061727</v>
      </c>
    </row>
    <row r="201" spans="1:14" x14ac:dyDescent="0.35">
      <c r="A201" t="s">
        <v>84</v>
      </c>
      <c r="B201">
        <v>1</v>
      </c>
      <c r="C201" t="s">
        <v>15</v>
      </c>
      <c r="D201" s="5">
        <v>45052</v>
      </c>
      <c r="E201" s="8">
        <v>0.625</v>
      </c>
      <c r="F201" t="s">
        <v>22</v>
      </c>
      <c r="G201" t="s">
        <v>43</v>
      </c>
      <c r="H201" t="s">
        <v>32</v>
      </c>
      <c r="I201" s="7">
        <v>6168</v>
      </c>
      <c r="J201" t="s">
        <v>49</v>
      </c>
      <c r="K201">
        <v>2023</v>
      </c>
      <c r="L201" s="1">
        <f t="shared" si="11"/>
        <v>34</v>
      </c>
      <c r="M201">
        <f>_xlfn.XLOOKUP(J201,Capacities!$A$2:$A$15,Capacities!$B$2:$B$15)</f>
        <v>13750</v>
      </c>
      <c r="N201">
        <f t="shared" si="9"/>
        <v>0.44858181818181819</v>
      </c>
    </row>
    <row r="202" spans="1:14" x14ac:dyDescent="0.35">
      <c r="A202" t="s">
        <v>84</v>
      </c>
      <c r="B202">
        <v>1</v>
      </c>
      <c r="C202" t="s">
        <v>15</v>
      </c>
      <c r="D202" s="5">
        <v>45052</v>
      </c>
      <c r="E202" s="8">
        <v>0.625</v>
      </c>
      <c r="F202" t="s">
        <v>18</v>
      </c>
      <c r="G202" t="s">
        <v>43</v>
      </c>
      <c r="H202" t="s">
        <v>28</v>
      </c>
      <c r="I202" s="7">
        <v>3129</v>
      </c>
      <c r="J202" t="s">
        <v>44</v>
      </c>
      <c r="K202">
        <v>2023</v>
      </c>
      <c r="L202" s="1">
        <f t="shared" si="11"/>
        <v>34</v>
      </c>
      <c r="M202">
        <f>_xlfn.XLOOKUP(J202,Capacities!$A$2:$A$15,Capacities!$B$2:$B$15)</f>
        <v>6541</v>
      </c>
      <c r="N202">
        <f t="shared" si="9"/>
        <v>0.47836722213728788</v>
      </c>
    </row>
    <row r="203" spans="1:14" x14ac:dyDescent="0.35">
      <c r="A203" t="s">
        <v>84</v>
      </c>
      <c r="B203">
        <v>1</v>
      </c>
      <c r="C203" t="s">
        <v>15</v>
      </c>
      <c r="D203" s="5">
        <v>45052</v>
      </c>
      <c r="E203" s="8">
        <v>0.625</v>
      </c>
      <c r="F203" t="s">
        <v>24</v>
      </c>
      <c r="G203" t="s">
        <v>33</v>
      </c>
      <c r="H203" t="s">
        <v>75</v>
      </c>
      <c r="I203" s="7">
        <v>7071</v>
      </c>
      <c r="J203" t="s">
        <v>27</v>
      </c>
      <c r="K203">
        <v>2023</v>
      </c>
      <c r="L203" s="1">
        <f t="shared" si="11"/>
        <v>34</v>
      </c>
      <c r="M203">
        <f>_xlfn.XLOOKUP(J203,Capacities!$A$2:$A$15,Capacities!$B$2:$B$15)</f>
        <v>10700</v>
      </c>
      <c r="N203">
        <f t="shared" si="9"/>
        <v>0.66084112149532714</v>
      </c>
    </row>
    <row r="204" spans="1:14" x14ac:dyDescent="0.35">
      <c r="A204" t="s">
        <v>83</v>
      </c>
      <c r="B204">
        <v>1</v>
      </c>
      <c r="C204" t="s">
        <v>36</v>
      </c>
      <c r="D204" s="5">
        <v>45053</v>
      </c>
      <c r="E204" s="8">
        <v>0.59375</v>
      </c>
      <c r="F204" t="s">
        <v>26</v>
      </c>
      <c r="G204" t="s">
        <v>25</v>
      </c>
      <c r="H204" t="s">
        <v>16</v>
      </c>
      <c r="I204" s="7">
        <v>18143</v>
      </c>
      <c r="J204" t="s">
        <v>50</v>
      </c>
      <c r="K204">
        <v>2023</v>
      </c>
      <c r="L204" s="1">
        <f t="shared" si="11"/>
        <v>34</v>
      </c>
      <c r="M204">
        <f>_xlfn.XLOOKUP(J204,Capacities!$A$2:$A$15,Capacities!$B$2:$B$15)</f>
        <v>19852</v>
      </c>
      <c r="N204">
        <f t="shared" si="9"/>
        <v>0.91391295587346366</v>
      </c>
    </row>
    <row r="205" spans="1:14" x14ac:dyDescent="0.35">
      <c r="A205" t="s">
        <v>83</v>
      </c>
      <c r="B205">
        <v>1</v>
      </c>
      <c r="C205" t="s">
        <v>36</v>
      </c>
      <c r="D205" s="5">
        <v>45053</v>
      </c>
      <c r="E205" s="8">
        <v>0.625</v>
      </c>
      <c r="F205" t="s">
        <v>34</v>
      </c>
      <c r="G205" t="s">
        <v>33</v>
      </c>
      <c r="H205" t="s">
        <v>30</v>
      </c>
      <c r="I205" s="7">
        <v>46961</v>
      </c>
      <c r="J205" t="s">
        <v>42</v>
      </c>
      <c r="K205">
        <v>2023</v>
      </c>
      <c r="L205" s="1">
        <f t="shared" si="11"/>
        <v>34</v>
      </c>
      <c r="M205">
        <f>_xlfn.XLOOKUP(J205,Capacities!$A$2:$A$15,Capacities!$B$2:$B$15)</f>
        <v>51082</v>
      </c>
      <c r="N205">
        <f t="shared" si="9"/>
        <v>0.91932578990642499</v>
      </c>
    </row>
    <row r="206" spans="1:14" x14ac:dyDescent="0.35">
      <c r="A206" t="s">
        <v>83</v>
      </c>
      <c r="B206">
        <v>2</v>
      </c>
      <c r="C206" t="s">
        <v>15</v>
      </c>
      <c r="D206" s="5">
        <v>45059</v>
      </c>
      <c r="E206" s="8">
        <v>0.52083333333333337</v>
      </c>
      <c r="F206" t="s">
        <v>34</v>
      </c>
      <c r="G206" t="s">
        <v>53</v>
      </c>
      <c r="H206" t="s">
        <v>16</v>
      </c>
      <c r="I206" s="7">
        <v>50104</v>
      </c>
      <c r="J206" t="s">
        <v>42</v>
      </c>
      <c r="K206">
        <v>2023</v>
      </c>
      <c r="L206" s="1">
        <f t="shared" si="11"/>
        <v>35</v>
      </c>
      <c r="M206">
        <f>_xlfn.XLOOKUP(J206,Capacities!$A$2:$A$15,Capacities!$B$2:$B$15)</f>
        <v>51082</v>
      </c>
      <c r="N206">
        <f t="shared" si="9"/>
        <v>0.98085431267374024</v>
      </c>
    </row>
    <row r="207" spans="1:14" x14ac:dyDescent="0.35">
      <c r="A207" t="s">
        <v>83</v>
      </c>
      <c r="B207">
        <v>2</v>
      </c>
      <c r="C207" t="s">
        <v>15</v>
      </c>
      <c r="D207" s="5">
        <v>45059</v>
      </c>
      <c r="E207" s="8">
        <v>0.625</v>
      </c>
      <c r="F207" t="s">
        <v>30</v>
      </c>
      <c r="G207" t="s">
        <v>29</v>
      </c>
      <c r="H207" t="s">
        <v>37</v>
      </c>
      <c r="I207" s="7">
        <v>18620</v>
      </c>
      <c r="J207" t="s">
        <v>48</v>
      </c>
      <c r="K207">
        <v>2023</v>
      </c>
      <c r="L207" s="1">
        <f t="shared" si="11"/>
        <v>35</v>
      </c>
      <c r="M207">
        <f>_xlfn.XLOOKUP(J207,Capacities!$A$2:$A$15,Capacities!$B$2:$B$15)</f>
        <v>21412</v>
      </c>
      <c r="N207">
        <f t="shared" si="9"/>
        <v>0.869605828507379</v>
      </c>
    </row>
    <row r="208" spans="1:14" x14ac:dyDescent="0.35">
      <c r="A208" t="s">
        <v>84</v>
      </c>
      <c r="B208">
        <v>2</v>
      </c>
      <c r="C208" t="s">
        <v>15</v>
      </c>
      <c r="D208" s="5">
        <v>45059</v>
      </c>
      <c r="E208" s="8">
        <v>0.625</v>
      </c>
      <c r="F208" t="s">
        <v>75</v>
      </c>
      <c r="G208" t="s">
        <v>47</v>
      </c>
      <c r="H208" t="s">
        <v>18</v>
      </c>
      <c r="I208" s="7">
        <v>10138</v>
      </c>
      <c r="J208" t="s">
        <v>76</v>
      </c>
      <c r="K208">
        <v>2023</v>
      </c>
      <c r="L208" s="1">
        <f t="shared" si="11"/>
        <v>35</v>
      </c>
      <c r="M208">
        <f>_xlfn.XLOOKUP(J208,Capacities!$A$2:$A$15,Capacities!$B$2:$B$15)</f>
        <v>14223</v>
      </c>
      <c r="N208">
        <f t="shared" si="9"/>
        <v>0.71278914434366869</v>
      </c>
    </row>
    <row r="209" spans="1:14" x14ac:dyDescent="0.35">
      <c r="A209" t="s">
        <v>84</v>
      </c>
      <c r="B209">
        <v>2</v>
      </c>
      <c r="C209" t="s">
        <v>15</v>
      </c>
      <c r="D209" s="5">
        <v>45059</v>
      </c>
      <c r="E209" s="8">
        <v>0.625</v>
      </c>
      <c r="F209" t="s">
        <v>32</v>
      </c>
      <c r="G209" t="s">
        <v>43</v>
      </c>
      <c r="H209" t="s">
        <v>28</v>
      </c>
      <c r="I209" s="7">
        <v>5051</v>
      </c>
      <c r="J209" t="s">
        <v>35</v>
      </c>
      <c r="K209">
        <v>2023</v>
      </c>
      <c r="L209" s="1">
        <f t="shared" si="11"/>
        <v>35</v>
      </c>
      <c r="M209">
        <f>_xlfn.XLOOKUP(J209,Capacities!$A$2:$A$15,Capacities!$B$2:$B$15)</f>
        <v>18128</v>
      </c>
      <c r="N209">
        <f t="shared" si="9"/>
        <v>0.2786297440423654</v>
      </c>
    </row>
    <row r="210" spans="1:14" x14ac:dyDescent="0.35">
      <c r="A210" t="s">
        <v>84</v>
      </c>
      <c r="B210">
        <v>2</v>
      </c>
      <c r="C210" t="s">
        <v>15</v>
      </c>
      <c r="D210" s="5">
        <v>45059</v>
      </c>
      <c r="E210" s="8">
        <v>0.625</v>
      </c>
      <c r="F210" t="s">
        <v>24</v>
      </c>
      <c r="G210" t="s">
        <v>25</v>
      </c>
      <c r="H210" t="s">
        <v>22</v>
      </c>
      <c r="I210" s="7">
        <v>3939</v>
      </c>
      <c r="J210" t="s">
        <v>27</v>
      </c>
      <c r="K210">
        <v>2023</v>
      </c>
      <c r="L210" s="1">
        <f t="shared" si="11"/>
        <v>35</v>
      </c>
      <c r="M210">
        <f>_xlfn.XLOOKUP(J210,Capacities!$A$2:$A$15,Capacities!$B$2:$B$15)</f>
        <v>10700</v>
      </c>
      <c r="N210">
        <f t="shared" si="9"/>
        <v>0.3681308411214953</v>
      </c>
    </row>
    <row r="211" spans="1:14" x14ac:dyDescent="0.35">
      <c r="A211" t="s">
        <v>83</v>
      </c>
      <c r="B211">
        <v>2</v>
      </c>
      <c r="C211" t="s">
        <v>15</v>
      </c>
      <c r="D211" s="5">
        <v>45059</v>
      </c>
      <c r="E211" s="8">
        <v>0.625</v>
      </c>
      <c r="F211" t="s">
        <v>39</v>
      </c>
      <c r="G211" t="s">
        <v>51</v>
      </c>
      <c r="H211" t="s">
        <v>26</v>
      </c>
      <c r="I211" s="7">
        <v>7238</v>
      </c>
      <c r="J211" t="s">
        <v>85</v>
      </c>
      <c r="K211">
        <v>2023</v>
      </c>
      <c r="L211" s="1">
        <f t="shared" si="11"/>
        <v>35</v>
      </c>
      <c r="M211">
        <f>_xlfn.XLOOKUP(J211,Capacities!$A$2:$A$15,Capacities!$B$2:$B$15)</f>
        <v>8006</v>
      </c>
      <c r="N211">
        <f t="shared" si="9"/>
        <v>0.9040719460404697</v>
      </c>
    </row>
    <row r="212" spans="1:14" x14ac:dyDescent="0.35">
      <c r="A212" t="s">
        <v>83</v>
      </c>
      <c r="B212">
        <v>3</v>
      </c>
      <c r="C212" t="s">
        <v>15</v>
      </c>
      <c r="D212" s="5">
        <v>45066</v>
      </c>
      <c r="E212" s="8">
        <v>0.52083333333333337</v>
      </c>
      <c r="F212" t="s">
        <v>26</v>
      </c>
      <c r="G212" t="s">
        <v>45</v>
      </c>
      <c r="H212" t="s">
        <v>30</v>
      </c>
      <c r="I212" s="7">
        <v>18661</v>
      </c>
      <c r="J212" t="s">
        <v>50</v>
      </c>
      <c r="K212">
        <v>2023</v>
      </c>
      <c r="L212" s="1">
        <f t="shared" si="11"/>
        <v>36</v>
      </c>
      <c r="M212">
        <f>_xlfn.XLOOKUP(J212,Capacities!$A$2:$A$15,Capacities!$B$2:$B$15)</f>
        <v>19852</v>
      </c>
      <c r="N212">
        <f t="shared" si="9"/>
        <v>0.94000604473100946</v>
      </c>
    </row>
    <row r="213" spans="1:14" x14ac:dyDescent="0.35">
      <c r="A213" t="s">
        <v>83</v>
      </c>
      <c r="B213">
        <v>3</v>
      </c>
      <c r="C213" t="s">
        <v>15</v>
      </c>
      <c r="D213" s="5">
        <v>45066</v>
      </c>
      <c r="E213" s="8">
        <v>0.625</v>
      </c>
      <c r="F213" t="s">
        <v>16</v>
      </c>
      <c r="G213" t="s">
        <v>51</v>
      </c>
      <c r="H213" t="s">
        <v>39</v>
      </c>
      <c r="I213" s="7">
        <v>58742</v>
      </c>
      <c r="J213" t="s">
        <v>19</v>
      </c>
      <c r="K213">
        <v>2023</v>
      </c>
      <c r="L213" s="1">
        <f t="shared" si="11"/>
        <v>36</v>
      </c>
      <c r="M213">
        <f>_xlfn.XLOOKUP(J213,Capacities!$A$2:$A$15,Capacities!$B$2:$B$15)</f>
        <v>60500</v>
      </c>
      <c r="N213">
        <f t="shared" si="9"/>
        <v>0.97094214876033058</v>
      </c>
    </row>
    <row r="214" spans="1:14" x14ac:dyDescent="0.35">
      <c r="A214" t="s">
        <v>84</v>
      </c>
      <c r="B214">
        <v>3</v>
      </c>
      <c r="C214" t="s">
        <v>15</v>
      </c>
      <c r="D214" s="5">
        <v>45066</v>
      </c>
      <c r="E214" s="8">
        <v>0.625</v>
      </c>
      <c r="F214" t="s">
        <v>32</v>
      </c>
      <c r="G214" t="s">
        <v>52</v>
      </c>
      <c r="H214" t="s">
        <v>24</v>
      </c>
      <c r="I214" s="7">
        <v>6004</v>
      </c>
      <c r="J214" t="s">
        <v>35</v>
      </c>
      <c r="K214">
        <v>2023</v>
      </c>
      <c r="L214" s="1">
        <f t="shared" si="11"/>
        <v>36</v>
      </c>
      <c r="M214">
        <f>_xlfn.XLOOKUP(J214,Capacities!$A$2:$A$15,Capacities!$B$2:$B$15)</f>
        <v>18128</v>
      </c>
      <c r="N214">
        <f t="shared" si="9"/>
        <v>0.33120035304501322</v>
      </c>
    </row>
    <row r="215" spans="1:14" x14ac:dyDescent="0.35">
      <c r="A215" t="s">
        <v>84</v>
      </c>
      <c r="B215">
        <v>3</v>
      </c>
      <c r="C215" t="s">
        <v>15</v>
      </c>
      <c r="D215" s="5">
        <v>45066</v>
      </c>
      <c r="E215" s="8">
        <v>0.625</v>
      </c>
      <c r="F215" t="s">
        <v>28</v>
      </c>
      <c r="G215" t="s">
        <v>45</v>
      </c>
      <c r="H215" t="s">
        <v>75</v>
      </c>
      <c r="I215" s="7">
        <v>2612</v>
      </c>
      <c r="J215" t="s">
        <v>31</v>
      </c>
      <c r="K215">
        <v>2023</v>
      </c>
      <c r="L215" s="1">
        <f t="shared" si="11"/>
        <v>36</v>
      </c>
      <c r="M215">
        <f>_xlfn.XLOOKUP(J215,Capacities!$A$2:$A$15,Capacities!$B$2:$B$15)</f>
        <v>9672</v>
      </c>
      <c r="N215">
        <f t="shared" si="9"/>
        <v>0.27005789909015715</v>
      </c>
    </row>
    <row r="216" spans="1:14" x14ac:dyDescent="0.35">
      <c r="A216" t="s">
        <v>84</v>
      </c>
      <c r="B216">
        <v>3</v>
      </c>
      <c r="C216" t="s">
        <v>15</v>
      </c>
      <c r="D216" s="5">
        <v>45066</v>
      </c>
      <c r="E216" s="8">
        <v>0.625</v>
      </c>
      <c r="F216" t="s">
        <v>22</v>
      </c>
      <c r="G216" t="s">
        <v>33</v>
      </c>
      <c r="H216" t="s">
        <v>18</v>
      </c>
      <c r="I216" s="7">
        <v>5289</v>
      </c>
      <c r="J216" t="s">
        <v>49</v>
      </c>
      <c r="K216">
        <v>2023</v>
      </c>
      <c r="L216" s="1">
        <f t="shared" si="11"/>
        <v>36</v>
      </c>
      <c r="M216">
        <f>_xlfn.XLOOKUP(J216,Capacities!$A$2:$A$15,Capacities!$B$2:$B$15)</f>
        <v>13750</v>
      </c>
      <c r="N216">
        <f t="shared" si="9"/>
        <v>0.38465454545454547</v>
      </c>
    </row>
    <row r="217" spans="1:14" x14ac:dyDescent="0.35">
      <c r="A217" t="s">
        <v>83</v>
      </c>
      <c r="B217">
        <v>3</v>
      </c>
      <c r="C217" t="s">
        <v>36</v>
      </c>
      <c r="D217" s="5">
        <v>45067</v>
      </c>
      <c r="E217" s="8">
        <v>0.5</v>
      </c>
      <c r="F217" t="s">
        <v>37</v>
      </c>
      <c r="G217" t="s">
        <v>47</v>
      </c>
      <c r="H217" t="s">
        <v>34</v>
      </c>
      <c r="I217" s="7">
        <v>18172</v>
      </c>
      <c r="J217" t="s">
        <v>40</v>
      </c>
      <c r="K217">
        <v>2023</v>
      </c>
      <c r="L217" s="1">
        <f t="shared" si="11"/>
        <v>36</v>
      </c>
      <c r="M217">
        <f>_xlfn.XLOOKUP(J217,Capacities!$A$2:$A$15,Capacities!$B$2:$B$15)</f>
        <v>20250</v>
      </c>
      <c r="N217">
        <f t="shared" si="9"/>
        <v>0.89738271604938269</v>
      </c>
    </row>
    <row r="218" spans="1:14" x14ac:dyDescent="0.35">
      <c r="A218" t="s">
        <v>83</v>
      </c>
      <c r="B218">
        <v>4</v>
      </c>
      <c r="C218" t="s">
        <v>60</v>
      </c>
      <c r="D218" s="5">
        <v>45070</v>
      </c>
      <c r="E218" s="8">
        <v>0.82291666666666663</v>
      </c>
      <c r="F218" t="s">
        <v>30</v>
      </c>
      <c r="G218" t="s">
        <v>53</v>
      </c>
      <c r="H218" t="s">
        <v>39</v>
      </c>
      <c r="I218" s="7">
        <v>16303</v>
      </c>
      <c r="J218" t="s">
        <v>48</v>
      </c>
      <c r="K218">
        <v>2023</v>
      </c>
      <c r="L218" s="1">
        <f t="shared" si="11"/>
        <v>37</v>
      </c>
      <c r="M218">
        <f>_xlfn.XLOOKUP(J218,Capacities!$A$2:$A$15,Capacities!$B$2:$B$15)</f>
        <v>21412</v>
      </c>
      <c r="N218">
        <f t="shared" si="9"/>
        <v>0.76139547917055861</v>
      </c>
    </row>
    <row r="219" spans="1:14" x14ac:dyDescent="0.35">
      <c r="A219" t="s">
        <v>84</v>
      </c>
      <c r="B219">
        <v>4</v>
      </c>
      <c r="C219" t="s">
        <v>60</v>
      </c>
      <c r="D219" s="5">
        <v>45070</v>
      </c>
      <c r="E219" s="8">
        <v>0.82291666666666663</v>
      </c>
      <c r="F219" t="s">
        <v>75</v>
      </c>
      <c r="G219" t="s">
        <v>54</v>
      </c>
      <c r="H219" t="s">
        <v>32</v>
      </c>
      <c r="I219" s="7">
        <v>10406</v>
      </c>
      <c r="J219" t="s">
        <v>76</v>
      </c>
      <c r="K219">
        <v>2023</v>
      </c>
      <c r="L219" s="1">
        <f t="shared" si="11"/>
        <v>37</v>
      </c>
      <c r="M219">
        <f>_xlfn.XLOOKUP(J219,Capacities!$A$2:$A$15,Capacities!$B$2:$B$15)</f>
        <v>14223</v>
      </c>
      <c r="N219">
        <f t="shared" si="9"/>
        <v>0.73163186388244394</v>
      </c>
    </row>
    <row r="220" spans="1:14" x14ac:dyDescent="0.35">
      <c r="A220" t="s">
        <v>83</v>
      </c>
      <c r="B220">
        <v>4</v>
      </c>
      <c r="C220" t="s">
        <v>60</v>
      </c>
      <c r="D220" s="5">
        <v>45070</v>
      </c>
      <c r="E220" s="8">
        <v>0.82291666666666663</v>
      </c>
      <c r="F220" t="s">
        <v>37</v>
      </c>
      <c r="G220" t="s">
        <v>17</v>
      </c>
      <c r="H220" t="s">
        <v>16</v>
      </c>
      <c r="I220" s="7">
        <v>18171</v>
      </c>
      <c r="J220" t="s">
        <v>40</v>
      </c>
      <c r="K220">
        <v>2023</v>
      </c>
      <c r="L220" s="1">
        <f t="shared" si="11"/>
        <v>37</v>
      </c>
      <c r="M220">
        <f>_xlfn.XLOOKUP(J220,Capacities!$A$2:$A$15,Capacities!$B$2:$B$15)</f>
        <v>20250</v>
      </c>
      <c r="N220">
        <f t="shared" si="9"/>
        <v>0.89733333333333332</v>
      </c>
    </row>
    <row r="221" spans="1:14" x14ac:dyDescent="0.35">
      <c r="A221" t="s">
        <v>84</v>
      </c>
      <c r="B221">
        <v>4</v>
      </c>
      <c r="C221" t="s">
        <v>60</v>
      </c>
      <c r="D221" s="5">
        <v>45070</v>
      </c>
      <c r="E221" s="8">
        <v>0.82291666666666663</v>
      </c>
      <c r="F221" t="s">
        <v>28</v>
      </c>
      <c r="G221" t="s">
        <v>21</v>
      </c>
      <c r="H221" t="s">
        <v>22</v>
      </c>
      <c r="I221" s="7">
        <v>1983</v>
      </c>
      <c r="J221" t="s">
        <v>31</v>
      </c>
      <c r="K221">
        <v>2023</v>
      </c>
      <c r="L221" s="1">
        <f t="shared" si="11"/>
        <v>37</v>
      </c>
      <c r="M221">
        <f>_xlfn.XLOOKUP(J221,Capacities!$A$2:$A$15,Capacities!$B$2:$B$15)</f>
        <v>9672</v>
      </c>
      <c r="N221">
        <f t="shared" si="9"/>
        <v>0.20502481389578164</v>
      </c>
    </row>
    <row r="222" spans="1:14" x14ac:dyDescent="0.35">
      <c r="A222" t="s">
        <v>83</v>
      </c>
      <c r="B222">
        <v>4</v>
      </c>
      <c r="C222" t="s">
        <v>60</v>
      </c>
      <c r="D222" s="5">
        <v>45070</v>
      </c>
      <c r="E222" s="8">
        <v>0.82291666666666663</v>
      </c>
      <c r="F222" t="s">
        <v>34</v>
      </c>
      <c r="G222" t="s">
        <v>51</v>
      </c>
      <c r="H222" t="s">
        <v>26</v>
      </c>
      <c r="I222" s="7">
        <v>48428</v>
      </c>
      <c r="J222" t="s">
        <v>42</v>
      </c>
      <c r="K222">
        <v>2023</v>
      </c>
      <c r="L222" s="1">
        <f t="shared" si="11"/>
        <v>37</v>
      </c>
      <c r="M222">
        <f>_xlfn.XLOOKUP(J222,Capacities!$A$2:$A$15,Capacities!$B$2:$B$15)</f>
        <v>51082</v>
      </c>
      <c r="N222">
        <f t="shared" si="9"/>
        <v>0.94804432089581459</v>
      </c>
    </row>
    <row r="223" spans="1:14" x14ac:dyDescent="0.35">
      <c r="A223" t="s">
        <v>84</v>
      </c>
      <c r="B223">
        <v>4</v>
      </c>
      <c r="C223" t="s">
        <v>60</v>
      </c>
      <c r="D223" s="5">
        <v>45070</v>
      </c>
      <c r="E223" s="8">
        <v>0.82291666666666663</v>
      </c>
      <c r="F223" t="s">
        <v>18</v>
      </c>
      <c r="G223" t="s">
        <v>59</v>
      </c>
      <c r="H223" t="s">
        <v>24</v>
      </c>
      <c r="I223" s="7">
        <v>4700</v>
      </c>
      <c r="J223" t="s">
        <v>44</v>
      </c>
      <c r="K223">
        <v>2023</v>
      </c>
      <c r="L223" s="1">
        <f t="shared" si="11"/>
        <v>37</v>
      </c>
      <c r="M223">
        <f>_xlfn.XLOOKUP(J223,Capacities!$A$2:$A$15,Capacities!$B$2:$B$15)</f>
        <v>6541</v>
      </c>
      <c r="N223">
        <f t="shared" si="9"/>
        <v>0.71854456505121544</v>
      </c>
    </row>
    <row r="224" spans="1:14" x14ac:dyDescent="0.35">
      <c r="A224" t="s">
        <v>83</v>
      </c>
      <c r="B224">
        <v>5</v>
      </c>
      <c r="C224" t="s">
        <v>15</v>
      </c>
      <c r="D224" s="5">
        <v>45073</v>
      </c>
      <c r="E224" s="8">
        <v>0.52083333333333337</v>
      </c>
      <c r="F224" t="s">
        <v>16</v>
      </c>
      <c r="G224" t="s">
        <v>66</v>
      </c>
      <c r="H224" t="s">
        <v>30</v>
      </c>
      <c r="I224" s="7">
        <v>59146</v>
      </c>
      <c r="J224" t="s">
        <v>19</v>
      </c>
      <c r="K224">
        <v>2023</v>
      </c>
      <c r="L224" s="1">
        <f t="shared" si="11"/>
        <v>38</v>
      </c>
      <c r="M224">
        <f>_xlfn.XLOOKUP(J224,Capacities!$A$2:$A$15,Capacities!$B$2:$B$15)</f>
        <v>60500</v>
      </c>
      <c r="N224">
        <f t="shared" si="9"/>
        <v>0.97761983471074376</v>
      </c>
    </row>
    <row r="225" spans="1:14" x14ac:dyDescent="0.35">
      <c r="A225" t="s">
        <v>83</v>
      </c>
      <c r="B225">
        <v>5</v>
      </c>
      <c r="C225" t="s">
        <v>15</v>
      </c>
      <c r="D225" s="5">
        <v>45073</v>
      </c>
      <c r="E225" s="8">
        <v>0.52083333333333337</v>
      </c>
      <c r="F225" t="s">
        <v>26</v>
      </c>
      <c r="G225" t="s">
        <v>21</v>
      </c>
      <c r="H225" t="s">
        <v>37</v>
      </c>
      <c r="I225" s="7">
        <v>18971</v>
      </c>
      <c r="J225" t="s">
        <v>50</v>
      </c>
      <c r="K225">
        <v>2023</v>
      </c>
      <c r="L225" s="1">
        <f t="shared" si="11"/>
        <v>38</v>
      </c>
      <c r="M225">
        <f>_xlfn.XLOOKUP(J225,Capacities!$A$2:$A$15,Capacities!$B$2:$B$15)</f>
        <v>19852</v>
      </c>
      <c r="N225">
        <f t="shared" si="9"/>
        <v>0.95562159983880712</v>
      </c>
    </row>
    <row r="226" spans="1:14" x14ac:dyDescent="0.35">
      <c r="A226" t="s">
        <v>83</v>
      </c>
      <c r="B226">
        <v>5</v>
      </c>
      <c r="C226" t="s">
        <v>15</v>
      </c>
      <c r="D226" s="5">
        <v>45073</v>
      </c>
      <c r="E226" s="8">
        <v>0.52083333333333337</v>
      </c>
      <c r="F226" t="s">
        <v>39</v>
      </c>
      <c r="G226" t="s">
        <v>54</v>
      </c>
      <c r="H226" t="s">
        <v>34</v>
      </c>
      <c r="I226" s="7">
        <v>7490</v>
      </c>
      <c r="J226" t="s">
        <v>85</v>
      </c>
      <c r="K226">
        <v>2023</v>
      </c>
      <c r="L226" s="1">
        <f t="shared" si="11"/>
        <v>38</v>
      </c>
      <c r="M226">
        <f>_xlfn.XLOOKUP(J226,Capacities!$A$2:$A$15,Capacities!$B$2:$B$15)</f>
        <v>8006</v>
      </c>
      <c r="N226">
        <f t="shared" si="9"/>
        <v>0.93554833874594057</v>
      </c>
    </row>
    <row r="227" spans="1:14" x14ac:dyDescent="0.35">
      <c r="A227" t="s">
        <v>84</v>
      </c>
      <c r="B227">
        <v>5</v>
      </c>
      <c r="C227" t="s">
        <v>36</v>
      </c>
      <c r="D227" s="5">
        <v>45074</v>
      </c>
      <c r="E227" s="8">
        <v>0.625</v>
      </c>
      <c r="F227" t="s">
        <v>32</v>
      </c>
      <c r="G227" t="s">
        <v>56</v>
      </c>
      <c r="H227" t="s">
        <v>18</v>
      </c>
      <c r="I227" s="7">
        <v>8301</v>
      </c>
      <c r="J227" t="s">
        <v>35</v>
      </c>
      <c r="K227">
        <v>2023</v>
      </c>
      <c r="L227" s="1">
        <f t="shared" si="11"/>
        <v>38</v>
      </c>
      <c r="M227">
        <f>_xlfn.XLOOKUP(J227,Capacities!$A$2:$A$15,Capacities!$B$2:$B$15)</f>
        <v>18128</v>
      </c>
      <c r="N227">
        <f t="shared" si="9"/>
        <v>0.45791041482789058</v>
      </c>
    </row>
    <row r="228" spans="1:14" x14ac:dyDescent="0.35">
      <c r="A228" t="s">
        <v>84</v>
      </c>
      <c r="B228">
        <v>5</v>
      </c>
      <c r="C228" t="s">
        <v>36</v>
      </c>
      <c r="D228" s="5">
        <v>45074</v>
      </c>
      <c r="E228" s="8">
        <v>0.625</v>
      </c>
      <c r="F228" t="s">
        <v>22</v>
      </c>
      <c r="G228" t="s">
        <v>65</v>
      </c>
      <c r="H228" t="s">
        <v>75</v>
      </c>
      <c r="I228" s="7">
        <v>5971</v>
      </c>
      <c r="J228" t="s">
        <v>49</v>
      </c>
      <c r="K228">
        <v>2023</v>
      </c>
      <c r="L228" s="1">
        <f t="shared" si="11"/>
        <v>38</v>
      </c>
      <c r="M228">
        <f>_xlfn.XLOOKUP(J228,Capacities!$A$2:$A$15,Capacities!$B$2:$B$15)</f>
        <v>13750</v>
      </c>
      <c r="N228">
        <f t="shared" si="9"/>
        <v>0.43425454545454545</v>
      </c>
    </row>
    <row r="229" spans="1:14" x14ac:dyDescent="0.35">
      <c r="A229" t="s">
        <v>84</v>
      </c>
      <c r="B229">
        <v>5</v>
      </c>
      <c r="C229" t="s">
        <v>36</v>
      </c>
      <c r="D229" s="5">
        <v>45074</v>
      </c>
      <c r="E229" s="8">
        <v>0.625</v>
      </c>
      <c r="F229" t="s">
        <v>24</v>
      </c>
      <c r="G229" t="s">
        <v>43</v>
      </c>
      <c r="H229" t="s">
        <v>28</v>
      </c>
      <c r="I229" s="7">
        <v>4362</v>
      </c>
      <c r="J229" t="s">
        <v>27</v>
      </c>
      <c r="K229">
        <v>2023</v>
      </c>
      <c r="L229" s="1">
        <f t="shared" si="11"/>
        <v>38</v>
      </c>
      <c r="M229">
        <f>_xlfn.XLOOKUP(J229,Capacities!$A$2:$A$15,Capacities!$B$2:$B$15)</f>
        <v>10700</v>
      </c>
      <c r="N229">
        <f t="shared" si="9"/>
        <v>0.40766355140186916</v>
      </c>
    </row>
  </sheetData>
  <sortState xmlns:xlrd2="http://schemas.microsoft.com/office/spreadsheetml/2017/richdata2" ref="A2:N288">
    <sortCondition ref="L2:L288"/>
    <sortCondition ref="D2:D288"/>
    <sortCondition ref="E2:E288"/>
    <sortCondition ref="F2:F28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92999-DBDB-47B1-BFFD-EA3A3B54927F}">
  <dimension ref="A1:N229"/>
  <sheetViews>
    <sheetView tabSelected="1" workbookViewId="0">
      <selection sqref="A1:XFD1048576"/>
    </sheetView>
  </sheetViews>
  <sheetFormatPr defaultRowHeight="14.5" x14ac:dyDescent="0.35"/>
  <cols>
    <col min="1" max="1" width="18.54296875" bestFit="1" customWidth="1"/>
    <col min="2" max="2" width="3.54296875" bestFit="1" customWidth="1"/>
    <col min="3" max="3" width="4.7265625" bestFit="1" customWidth="1"/>
    <col min="4" max="4" width="10.453125" bestFit="1" customWidth="1"/>
    <col min="5" max="5" width="5.36328125" bestFit="1" customWidth="1"/>
    <col min="6" max="6" width="11.36328125" bestFit="1" customWidth="1"/>
    <col min="7" max="7" width="5.36328125" bestFit="1" customWidth="1"/>
    <col min="8" max="8" width="11.36328125" bestFit="1" customWidth="1"/>
    <col min="9" max="9" width="10.36328125" bestFit="1" customWidth="1"/>
    <col min="10" max="10" width="24.54296875" bestFit="1" customWidth="1"/>
    <col min="11" max="11" width="13.7265625" bestFit="1" customWidth="1"/>
    <col min="12" max="12" width="4.81640625" bestFit="1" customWidth="1"/>
    <col min="13" max="13" width="8" bestFit="1" customWidth="1"/>
    <col min="14" max="14" width="5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74</v>
      </c>
      <c r="B2">
        <v>1</v>
      </c>
      <c r="C2" t="s">
        <v>15</v>
      </c>
      <c r="D2" s="5">
        <v>43316</v>
      </c>
      <c r="E2" s="6">
        <v>0.625</v>
      </c>
      <c r="F2" t="s">
        <v>16</v>
      </c>
      <c r="G2" t="s">
        <v>56</v>
      </c>
      <c r="H2" t="s">
        <v>28</v>
      </c>
      <c r="I2" s="7">
        <v>58778</v>
      </c>
      <c r="J2" t="s">
        <v>19</v>
      </c>
      <c r="K2">
        <v>2019</v>
      </c>
      <c r="L2">
        <f>B2</f>
        <v>1</v>
      </c>
      <c r="M2">
        <f>_xlfn.XLOOKUP(J2,Capacities!$A$2:$A$17,Capacities!$B$2:$B$17)</f>
        <v>60500</v>
      </c>
      <c r="N2">
        <f>I2/M2</f>
        <v>0.97153719008264461</v>
      </c>
    </row>
    <row r="3" spans="1:14" x14ac:dyDescent="0.35">
      <c r="A3" t="s">
        <v>74</v>
      </c>
      <c r="B3">
        <v>1</v>
      </c>
      <c r="C3" t="s">
        <v>15</v>
      </c>
      <c r="D3" s="5">
        <v>43316</v>
      </c>
      <c r="E3" s="6">
        <v>0.625</v>
      </c>
      <c r="F3" t="s">
        <v>87</v>
      </c>
      <c r="G3" t="s">
        <v>57</v>
      </c>
      <c r="H3" t="s">
        <v>26</v>
      </c>
      <c r="I3" s="7">
        <v>3764</v>
      </c>
      <c r="J3" t="s">
        <v>88</v>
      </c>
      <c r="K3">
        <v>2019</v>
      </c>
      <c r="L3">
        <f>B3</f>
        <v>1</v>
      </c>
      <c r="M3">
        <f>_xlfn.XLOOKUP(J3,Capacities!$A$2:$A$17,Capacities!$B$2:$B$17)</f>
        <v>6007</v>
      </c>
      <c r="N3">
        <f>I3/M3</f>
        <v>0.62660229731979356</v>
      </c>
    </row>
    <row r="4" spans="1:14" x14ac:dyDescent="0.35">
      <c r="A4" t="s">
        <v>74</v>
      </c>
      <c r="B4">
        <v>1</v>
      </c>
      <c r="C4" t="s">
        <v>15</v>
      </c>
      <c r="D4" s="5">
        <v>43316</v>
      </c>
      <c r="E4" s="6">
        <v>0.625</v>
      </c>
      <c r="F4" t="s">
        <v>32</v>
      </c>
      <c r="G4" t="s">
        <v>43</v>
      </c>
      <c r="H4" t="s">
        <v>24</v>
      </c>
      <c r="I4" s="7">
        <v>4644</v>
      </c>
      <c r="J4" t="s">
        <v>86</v>
      </c>
      <c r="K4">
        <v>2019</v>
      </c>
      <c r="L4">
        <f>B4</f>
        <v>1</v>
      </c>
      <c r="M4">
        <f>_xlfn.XLOOKUP(J4,Capacities!$A$2:$A$17,Capacities!$B$2:$B$17)</f>
        <v>15003</v>
      </c>
      <c r="N4">
        <f>I4/M4</f>
        <v>0.30953809238152369</v>
      </c>
    </row>
    <row r="5" spans="1:14" x14ac:dyDescent="0.35">
      <c r="A5" t="s">
        <v>74</v>
      </c>
      <c r="B5">
        <v>1</v>
      </c>
      <c r="C5" t="s">
        <v>15</v>
      </c>
      <c r="D5" s="5">
        <v>43316</v>
      </c>
      <c r="E5" s="6">
        <v>0.625</v>
      </c>
      <c r="F5" t="s">
        <v>39</v>
      </c>
      <c r="G5" t="s">
        <v>45</v>
      </c>
      <c r="H5" t="s">
        <v>20</v>
      </c>
      <c r="I5" s="7">
        <v>5470</v>
      </c>
      <c r="J5" t="s">
        <v>46</v>
      </c>
      <c r="K5">
        <v>2019</v>
      </c>
      <c r="L5">
        <f>B5</f>
        <v>1</v>
      </c>
      <c r="M5">
        <f>_xlfn.XLOOKUP(J5,Capacities!$A$2:$A$17,Capacities!$B$2:$B$17)</f>
        <v>8006</v>
      </c>
      <c r="N5">
        <f>I5/M5</f>
        <v>0.6832375718211342</v>
      </c>
    </row>
    <row r="6" spans="1:14" x14ac:dyDescent="0.35">
      <c r="A6" t="s">
        <v>74</v>
      </c>
      <c r="B6">
        <v>1</v>
      </c>
      <c r="C6" t="s">
        <v>36</v>
      </c>
      <c r="D6" s="5">
        <v>43317</v>
      </c>
      <c r="E6" s="6">
        <v>0.54166666666666663</v>
      </c>
      <c r="F6" t="s">
        <v>30</v>
      </c>
      <c r="G6" t="s">
        <v>21</v>
      </c>
      <c r="H6" t="s">
        <v>34</v>
      </c>
      <c r="I6" s="7">
        <v>19046</v>
      </c>
      <c r="J6" t="s">
        <v>48</v>
      </c>
      <c r="K6">
        <v>2019</v>
      </c>
      <c r="L6">
        <f>B6</f>
        <v>1</v>
      </c>
      <c r="M6">
        <f>_xlfn.XLOOKUP(J6,Capacities!$A$2:$A$17,Capacities!$B$2:$B$17)</f>
        <v>21412</v>
      </c>
      <c r="N6">
        <f>I6/M6</f>
        <v>0.88950121427237061</v>
      </c>
    </row>
    <row r="7" spans="1:14" x14ac:dyDescent="0.35">
      <c r="A7" t="s">
        <v>74</v>
      </c>
      <c r="B7">
        <v>1</v>
      </c>
      <c r="C7" t="s">
        <v>36</v>
      </c>
      <c r="D7" s="5">
        <v>43317</v>
      </c>
      <c r="E7" s="6">
        <v>0.625</v>
      </c>
      <c r="F7" t="s">
        <v>37</v>
      </c>
      <c r="G7" t="s">
        <v>53</v>
      </c>
      <c r="H7" t="s">
        <v>22</v>
      </c>
      <c r="I7" s="7">
        <v>17494</v>
      </c>
      <c r="J7" t="s">
        <v>40</v>
      </c>
      <c r="K7">
        <v>2019</v>
      </c>
      <c r="L7">
        <f>B7</f>
        <v>1</v>
      </c>
      <c r="M7">
        <f>_xlfn.XLOOKUP(J7,Capacities!$A$2:$A$17,Capacities!$B$2:$B$17)</f>
        <v>20250</v>
      </c>
      <c r="N7">
        <f>I7/M7</f>
        <v>0.86390123456790124</v>
      </c>
    </row>
    <row r="8" spans="1:14" x14ac:dyDescent="0.35">
      <c r="A8" t="s">
        <v>74</v>
      </c>
      <c r="B8">
        <v>2</v>
      </c>
      <c r="C8" t="s">
        <v>15</v>
      </c>
      <c r="D8" s="5">
        <v>43323</v>
      </c>
      <c r="E8" s="6">
        <v>0.52083333333333337</v>
      </c>
      <c r="F8" t="s">
        <v>26</v>
      </c>
      <c r="G8" t="s">
        <v>33</v>
      </c>
      <c r="H8" t="s">
        <v>16</v>
      </c>
      <c r="I8" s="7">
        <v>19113</v>
      </c>
      <c r="J8" t="s">
        <v>50</v>
      </c>
      <c r="K8">
        <v>2019</v>
      </c>
      <c r="L8">
        <f>B8</f>
        <v>2</v>
      </c>
      <c r="M8">
        <f>_xlfn.XLOOKUP(J8,Capacities!$A$2:$A$17,Capacities!$B$2:$B$17)</f>
        <v>19852</v>
      </c>
      <c r="N8">
        <f>I8/M8</f>
        <v>0.9627745315333468</v>
      </c>
    </row>
    <row r="9" spans="1:14" x14ac:dyDescent="0.35">
      <c r="A9" t="s">
        <v>74</v>
      </c>
      <c r="B9">
        <v>2</v>
      </c>
      <c r="C9" t="s">
        <v>15</v>
      </c>
      <c r="D9" s="5">
        <v>43323</v>
      </c>
      <c r="E9" s="6">
        <v>0.625</v>
      </c>
      <c r="F9" t="s">
        <v>20</v>
      </c>
      <c r="G9" t="s">
        <v>52</v>
      </c>
      <c r="H9" t="s">
        <v>30</v>
      </c>
      <c r="I9" s="7">
        <v>7581</v>
      </c>
      <c r="J9" t="s">
        <v>23</v>
      </c>
      <c r="K9">
        <v>2019</v>
      </c>
      <c r="L9">
        <f>B9</f>
        <v>2</v>
      </c>
      <c r="M9">
        <f>_xlfn.XLOOKUP(J9,Capacities!$A$2:$A$17,Capacities!$B$2:$B$17)</f>
        <v>11850</v>
      </c>
      <c r="N9">
        <f>I9/M9</f>
        <v>0.63974683544303801</v>
      </c>
    </row>
    <row r="10" spans="1:14" x14ac:dyDescent="0.35">
      <c r="A10" t="s">
        <v>74</v>
      </c>
      <c r="B10">
        <v>2</v>
      </c>
      <c r="C10" t="s">
        <v>15</v>
      </c>
      <c r="D10" s="5">
        <v>43323</v>
      </c>
      <c r="E10" s="6">
        <v>0.625</v>
      </c>
      <c r="F10" t="s">
        <v>28</v>
      </c>
      <c r="G10" t="s">
        <v>29</v>
      </c>
      <c r="H10" t="s">
        <v>32</v>
      </c>
      <c r="I10" s="7">
        <v>2586</v>
      </c>
      <c r="J10" t="s">
        <v>31</v>
      </c>
      <c r="K10">
        <v>2019</v>
      </c>
      <c r="L10">
        <f>B10</f>
        <v>2</v>
      </c>
      <c r="M10">
        <f>_xlfn.XLOOKUP(J10,Capacities!$A$2:$A$17,Capacities!$B$2:$B$17)</f>
        <v>9672</v>
      </c>
      <c r="N10">
        <f>I10/M10</f>
        <v>0.2673697270471464</v>
      </c>
    </row>
    <row r="11" spans="1:14" x14ac:dyDescent="0.35">
      <c r="A11" t="s">
        <v>74</v>
      </c>
      <c r="B11">
        <v>2</v>
      </c>
      <c r="C11" t="s">
        <v>15</v>
      </c>
      <c r="D11" s="5">
        <v>43323</v>
      </c>
      <c r="E11" s="6">
        <v>0.625</v>
      </c>
      <c r="F11" t="s">
        <v>22</v>
      </c>
      <c r="G11" t="s">
        <v>52</v>
      </c>
      <c r="H11" t="s">
        <v>87</v>
      </c>
      <c r="I11" s="7">
        <v>4807</v>
      </c>
      <c r="J11" t="s">
        <v>49</v>
      </c>
      <c r="K11">
        <v>2019</v>
      </c>
      <c r="L11">
        <f>B11</f>
        <v>2</v>
      </c>
      <c r="M11">
        <f>_xlfn.XLOOKUP(J11,Capacities!$A$2:$A$17,Capacities!$B$2:$B$17)</f>
        <v>13750</v>
      </c>
      <c r="N11">
        <f>I11/M11</f>
        <v>0.34960000000000002</v>
      </c>
    </row>
    <row r="12" spans="1:14" x14ac:dyDescent="0.35">
      <c r="A12" t="s">
        <v>74</v>
      </c>
      <c r="B12">
        <v>2</v>
      </c>
      <c r="C12" t="s">
        <v>36</v>
      </c>
      <c r="D12" s="5">
        <v>43324</v>
      </c>
      <c r="E12" s="6">
        <v>0.625</v>
      </c>
      <c r="F12" t="s">
        <v>34</v>
      </c>
      <c r="G12" t="s">
        <v>43</v>
      </c>
      <c r="H12" t="s">
        <v>39</v>
      </c>
      <c r="I12" s="7">
        <v>49680</v>
      </c>
      <c r="J12" t="s">
        <v>42</v>
      </c>
      <c r="K12">
        <v>2019</v>
      </c>
      <c r="L12">
        <f>B12</f>
        <v>2</v>
      </c>
      <c r="M12">
        <f>_xlfn.XLOOKUP(J12,Capacities!$A$2:$A$17,Capacities!$B$2:$B$17)</f>
        <v>51082</v>
      </c>
      <c r="N12">
        <f>I12/M12</f>
        <v>0.97255393289221248</v>
      </c>
    </row>
    <row r="13" spans="1:14" x14ac:dyDescent="0.35">
      <c r="A13" t="s">
        <v>74</v>
      </c>
      <c r="B13">
        <v>2</v>
      </c>
      <c r="C13" t="s">
        <v>36</v>
      </c>
      <c r="D13" s="5">
        <v>43324</v>
      </c>
      <c r="E13" s="6">
        <v>0.625</v>
      </c>
      <c r="F13" t="s">
        <v>24</v>
      </c>
      <c r="G13" t="s">
        <v>21</v>
      </c>
      <c r="H13" t="s">
        <v>37</v>
      </c>
      <c r="I13" s="7">
        <v>4637</v>
      </c>
      <c r="J13" t="s">
        <v>27</v>
      </c>
      <c r="K13">
        <v>2019</v>
      </c>
      <c r="L13">
        <f>B13</f>
        <v>2</v>
      </c>
      <c r="M13">
        <f>_xlfn.XLOOKUP(J13,Capacities!$A$2:$A$17,Capacities!$B$2:$B$17)</f>
        <v>10700</v>
      </c>
      <c r="N13">
        <f>I13/M13</f>
        <v>0.43336448598130839</v>
      </c>
    </row>
    <row r="14" spans="1:14" x14ac:dyDescent="0.35">
      <c r="A14" t="s">
        <v>74</v>
      </c>
      <c r="B14">
        <v>3</v>
      </c>
      <c r="C14" t="s">
        <v>15</v>
      </c>
      <c r="D14" s="5">
        <v>43337</v>
      </c>
      <c r="E14" s="6">
        <v>0.625</v>
      </c>
      <c r="F14" t="s">
        <v>37</v>
      </c>
      <c r="G14" t="s">
        <v>21</v>
      </c>
      <c r="H14" t="s">
        <v>30</v>
      </c>
      <c r="I14" s="7">
        <v>18583</v>
      </c>
      <c r="J14" t="s">
        <v>40</v>
      </c>
      <c r="K14">
        <v>2019</v>
      </c>
      <c r="L14">
        <f>B14</f>
        <v>3</v>
      </c>
      <c r="M14">
        <f>_xlfn.XLOOKUP(J14,Capacities!$A$2:$A$17,Capacities!$B$2:$B$17)</f>
        <v>20250</v>
      </c>
      <c r="N14">
        <f>I14/M14</f>
        <v>0.91767901234567906</v>
      </c>
    </row>
    <row r="15" spans="1:14" x14ac:dyDescent="0.35">
      <c r="A15" t="s">
        <v>74</v>
      </c>
      <c r="B15">
        <v>3</v>
      </c>
      <c r="C15" t="s">
        <v>15</v>
      </c>
      <c r="D15" s="5">
        <v>43337</v>
      </c>
      <c r="E15" s="6">
        <v>0.625</v>
      </c>
      <c r="F15" t="s">
        <v>32</v>
      </c>
      <c r="G15" t="s">
        <v>52</v>
      </c>
      <c r="H15" t="s">
        <v>26</v>
      </c>
      <c r="I15" s="7">
        <v>6239</v>
      </c>
      <c r="J15" t="s">
        <v>86</v>
      </c>
      <c r="K15">
        <v>2019</v>
      </c>
      <c r="L15">
        <f>B15</f>
        <v>3</v>
      </c>
      <c r="M15">
        <f>_xlfn.XLOOKUP(J15,Capacities!$A$2:$A$17,Capacities!$B$2:$B$17)</f>
        <v>15003</v>
      </c>
      <c r="N15">
        <f>I15/M15</f>
        <v>0.4158501633006732</v>
      </c>
    </row>
    <row r="16" spans="1:14" x14ac:dyDescent="0.35">
      <c r="A16" t="s">
        <v>74</v>
      </c>
      <c r="B16">
        <v>3</v>
      </c>
      <c r="C16" t="s">
        <v>15</v>
      </c>
      <c r="D16" s="5">
        <v>43337</v>
      </c>
      <c r="E16" s="6">
        <v>0.625</v>
      </c>
      <c r="F16" t="s">
        <v>24</v>
      </c>
      <c r="G16" t="s">
        <v>33</v>
      </c>
      <c r="H16" t="s">
        <v>20</v>
      </c>
      <c r="I16" s="7">
        <v>4259</v>
      </c>
      <c r="J16" t="s">
        <v>27</v>
      </c>
      <c r="K16">
        <v>2019</v>
      </c>
      <c r="L16">
        <f>B16</f>
        <v>3</v>
      </c>
      <c r="M16">
        <f>_xlfn.XLOOKUP(J16,Capacities!$A$2:$A$17,Capacities!$B$2:$B$17)</f>
        <v>10700</v>
      </c>
      <c r="N16">
        <f>I16/M16</f>
        <v>0.39803738317757009</v>
      </c>
    </row>
    <row r="17" spans="1:14" x14ac:dyDescent="0.35">
      <c r="A17" t="s">
        <v>74</v>
      </c>
      <c r="B17">
        <v>3</v>
      </c>
      <c r="C17" t="s">
        <v>15</v>
      </c>
      <c r="D17" s="5">
        <v>43337</v>
      </c>
      <c r="E17" s="6">
        <v>0.625</v>
      </c>
      <c r="F17" t="s">
        <v>39</v>
      </c>
      <c r="G17" t="s">
        <v>25</v>
      </c>
      <c r="H17" t="s">
        <v>28</v>
      </c>
      <c r="I17" s="7">
        <v>4347</v>
      </c>
      <c r="J17" t="s">
        <v>46</v>
      </c>
      <c r="K17">
        <v>2019</v>
      </c>
      <c r="L17">
        <f>B17</f>
        <v>3</v>
      </c>
      <c r="M17">
        <f>_xlfn.XLOOKUP(J17,Capacities!$A$2:$A$17,Capacities!$B$2:$B$17)</f>
        <v>8006</v>
      </c>
      <c r="N17">
        <f>I17/M17</f>
        <v>0.54296777416937292</v>
      </c>
    </row>
    <row r="18" spans="1:14" x14ac:dyDescent="0.35">
      <c r="A18" t="s">
        <v>74</v>
      </c>
      <c r="B18">
        <v>3</v>
      </c>
      <c r="C18" t="s">
        <v>36</v>
      </c>
      <c r="D18" s="5">
        <v>43338</v>
      </c>
      <c r="E18" s="6">
        <v>0.51041666666666663</v>
      </c>
      <c r="F18" t="s">
        <v>22</v>
      </c>
      <c r="G18" t="s">
        <v>59</v>
      </c>
      <c r="H18" t="s">
        <v>34</v>
      </c>
      <c r="I18" s="7">
        <v>9545</v>
      </c>
      <c r="J18" t="s">
        <v>49</v>
      </c>
      <c r="K18">
        <v>2019</v>
      </c>
      <c r="L18">
        <f>B18</f>
        <v>3</v>
      </c>
      <c r="M18">
        <f>_xlfn.XLOOKUP(J18,Capacities!$A$2:$A$17,Capacities!$B$2:$B$17)</f>
        <v>13750</v>
      </c>
      <c r="N18">
        <f>I18/M18</f>
        <v>0.69418181818181823</v>
      </c>
    </row>
    <row r="19" spans="1:14" x14ac:dyDescent="0.35">
      <c r="A19" t="s">
        <v>74</v>
      </c>
      <c r="B19">
        <v>3</v>
      </c>
      <c r="C19" t="s">
        <v>36</v>
      </c>
      <c r="D19" s="5">
        <v>43338</v>
      </c>
      <c r="E19" s="6">
        <v>0.625</v>
      </c>
      <c r="F19" t="s">
        <v>16</v>
      </c>
      <c r="G19" t="s">
        <v>33</v>
      </c>
      <c r="H19" t="s">
        <v>87</v>
      </c>
      <c r="I19" s="7">
        <v>56044</v>
      </c>
      <c r="J19" t="s">
        <v>19</v>
      </c>
      <c r="K19">
        <v>2019</v>
      </c>
      <c r="L19">
        <f>B19</f>
        <v>3</v>
      </c>
      <c r="M19">
        <f>_xlfn.XLOOKUP(J19,Capacities!$A$2:$A$17,Capacities!$B$2:$B$17)</f>
        <v>60500</v>
      </c>
      <c r="N19">
        <f>I19/M19</f>
        <v>0.92634710743801651</v>
      </c>
    </row>
    <row r="20" spans="1:14" x14ac:dyDescent="0.35">
      <c r="A20" t="s">
        <v>74</v>
      </c>
      <c r="B20">
        <v>4</v>
      </c>
      <c r="C20" t="s">
        <v>15</v>
      </c>
      <c r="D20" s="5">
        <v>43344</v>
      </c>
      <c r="E20" s="6">
        <v>0.625</v>
      </c>
      <c r="F20" t="s">
        <v>30</v>
      </c>
      <c r="G20" t="s">
        <v>25</v>
      </c>
      <c r="H20" t="s">
        <v>32</v>
      </c>
      <c r="I20" s="7">
        <v>14248</v>
      </c>
      <c r="J20" t="s">
        <v>48</v>
      </c>
      <c r="K20">
        <v>2019</v>
      </c>
      <c r="L20">
        <f>B20</f>
        <v>4</v>
      </c>
      <c r="M20">
        <f>_xlfn.XLOOKUP(J20,Capacities!$A$2:$A$17,Capacities!$B$2:$B$17)</f>
        <v>21412</v>
      </c>
      <c r="N20">
        <f>I20/M20</f>
        <v>0.66542125910704275</v>
      </c>
    </row>
    <row r="21" spans="1:14" x14ac:dyDescent="0.35">
      <c r="A21" t="s">
        <v>74</v>
      </c>
      <c r="B21">
        <v>4</v>
      </c>
      <c r="C21" t="s">
        <v>15</v>
      </c>
      <c r="D21" s="5">
        <v>43344</v>
      </c>
      <c r="E21" s="6">
        <v>0.625</v>
      </c>
      <c r="F21" t="s">
        <v>20</v>
      </c>
      <c r="G21" t="s">
        <v>47</v>
      </c>
      <c r="H21" t="s">
        <v>22</v>
      </c>
      <c r="I21" s="7">
        <v>5137</v>
      </c>
      <c r="J21" t="s">
        <v>23</v>
      </c>
      <c r="K21">
        <v>2019</v>
      </c>
      <c r="L21">
        <f>B21</f>
        <v>4</v>
      </c>
      <c r="M21">
        <f>_xlfn.XLOOKUP(J21,Capacities!$A$2:$A$17,Capacities!$B$2:$B$17)</f>
        <v>11850</v>
      </c>
      <c r="N21">
        <f>I21/M21</f>
        <v>0.43350210970464137</v>
      </c>
    </row>
    <row r="22" spans="1:14" x14ac:dyDescent="0.35">
      <c r="A22" t="s">
        <v>74</v>
      </c>
      <c r="B22">
        <v>4</v>
      </c>
      <c r="C22" t="s">
        <v>15</v>
      </c>
      <c r="D22" s="5">
        <v>43344</v>
      </c>
      <c r="E22" s="6">
        <v>0.625</v>
      </c>
      <c r="F22" t="s">
        <v>87</v>
      </c>
      <c r="G22" t="s">
        <v>55</v>
      </c>
      <c r="H22" t="s">
        <v>24</v>
      </c>
      <c r="I22" s="7">
        <v>1791</v>
      </c>
      <c r="J22" t="s">
        <v>88</v>
      </c>
      <c r="K22">
        <v>2019</v>
      </c>
      <c r="L22">
        <f>B22</f>
        <v>4</v>
      </c>
      <c r="M22">
        <f>_xlfn.XLOOKUP(J22,Capacities!$A$2:$A$17,Capacities!$B$2:$B$17)</f>
        <v>6007</v>
      </c>
      <c r="N22">
        <f>I22/M22</f>
        <v>0.29815215581821208</v>
      </c>
    </row>
    <row r="23" spans="1:14" x14ac:dyDescent="0.35">
      <c r="A23" t="s">
        <v>74</v>
      </c>
      <c r="B23">
        <v>4</v>
      </c>
      <c r="C23" t="s">
        <v>15</v>
      </c>
      <c r="D23" s="5">
        <v>43344</v>
      </c>
      <c r="E23" s="6">
        <v>0.625</v>
      </c>
      <c r="F23" t="s">
        <v>26</v>
      </c>
      <c r="G23" t="s">
        <v>64</v>
      </c>
      <c r="H23" t="s">
        <v>39</v>
      </c>
      <c r="I23" s="7">
        <v>17714</v>
      </c>
      <c r="J23" t="s">
        <v>50</v>
      </c>
      <c r="K23">
        <v>2019</v>
      </c>
      <c r="L23">
        <f>B23</f>
        <v>4</v>
      </c>
      <c r="M23">
        <f>_xlfn.XLOOKUP(J23,Capacities!$A$2:$A$17,Capacities!$B$2:$B$17)</f>
        <v>19852</v>
      </c>
      <c r="N23">
        <f>I23/M23</f>
        <v>0.89230304251460812</v>
      </c>
    </row>
    <row r="24" spans="1:14" x14ac:dyDescent="0.35">
      <c r="A24" t="s">
        <v>74</v>
      </c>
      <c r="B24">
        <v>4</v>
      </c>
      <c r="C24" t="s">
        <v>15</v>
      </c>
      <c r="D24" s="5">
        <v>43344</v>
      </c>
      <c r="E24" s="6">
        <v>0.625</v>
      </c>
      <c r="F24" t="s">
        <v>28</v>
      </c>
      <c r="G24" t="s">
        <v>45</v>
      </c>
      <c r="H24" t="s">
        <v>37</v>
      </c>
      <c r="I24" s="7">
        <v>5305</v>
      </c>
      <c r="J24" t="s">
        <v>31</v>
      </c>
      <c r="K24">
        <v>2019</v>
      </c>
      <c r="L24">
        <f>B24</f>
        <v>4</v>
      </c>
      <c r="M24">
        <f>_xlfn.XLOOKUP(J24,Capacities!$A$2:$A$17,Capacities!$B$2:$B$17)</f>
        <v>9672</v>
      </c>
      <c r="N24">
        <f>I24/M24</f>
        <v>0.54849048800661704</v>
      </c>
    </row>
    <row r="25" spans="1:14" x14ac:dyDescent="0.35">
      <c r="A25" t="s">
        <v>74</v>
      </c>
      <c r="B25">
        <v>4</v>
      </c>
      <c r="C25" t="s">
        <v>36</v>
      </c>
      <c r="D25" s="5">
        <v>43345</v>
      </c>
      <c r="E25" s="6">
        <v>0.5</v>
      </c>
      <c r="F25" t="s">
        <v>16</v>
      </c>
      <c r="G25" t="s">
        <v>33</v>
      </c>
      <c r="H25" t="s">
        <v>34</v>
      </c>
      <c r="I25" s="7">
        <v>58865</v>
      </c>
      <c r="J25" t="s">
        <v>19</v>
      </c>
      <c r="K25">
        <v>2019</v>
      </c>
      <c r="L25">
        <f>B25</f>
        <v>4</v>
      </c>
      <c r="M25">
        <f>_xlfn.XLOOKUP(J25,Capacities!$A$2:$A$17,Capacities!$B$2:$B$17)</f>
        <v>60500</v>
      </c>
      <c r="N25">
        <f>I25/M25</f>
        <v>0.97297520661157022</v>
      </c>
    </row>
    <row r="26" spans="1:14" x14ac:dyDescent="0.35">
      <c r="A26" t="s">
        <v>74</v>
      </c>
      <c r="B26">
        <v>5</v>
      </c>
      <c r="C26" t="s">
        <v>79</v>
      </c>
      <c r="D26" s="5">
        <v>43357</v>
      </c>
      <c r="E26" s="6">
        <v>0.82291666666666663</v>
      </c>
      <c r="F26" t="s">
        <v>39</v>
      </c>
      <c r="G26" t="s">
        <v>29</v>
      </c>
      <c r="H26" t="s">
        <v>16</v>
      </c>
      <c r="I26" s="7">
        <v>7288</v>
      </c>
      <c r="J26" t="s">
        <v>46</v>
      </c>
      <c r="K26">
        <v>2019</v>
      </c>
      <c r="L26">
        <f>B26</f>
        <v>5</v>
      </c>
      <c r="M26">
        <f>_xlfn.XLOOKUP(J26,Capacities!$A$2:$A$17,Capacities!$B$2:$B$17)</f>
        <v>8006</v>
      </c>
      <c r="N26">
        <f>I26/M26</f>
        <v>0.91031726205345986</v>
      </c>
    </row>
    <row r="27" spans="1:14" x14ac:dyDescent="0.35">
      <c r="A27" t="s">
        <v>74</v>
      </c>
      <c r="B27">
        <v>5</v>
      </c>
      <c r="C27" t="s">
        <v>15</v>
      </c>
      <c r="D27" s="5">
        <v>43358</v>
      </c>
      <c r="E27" s="6">
        <v>0.625</v>
      </c>
      <c r="F27" t="s">
        <v>37</v>
      </c>
      <c r="G27" t="s">
        <v>65</v>
      </c>
      <c r="H27" t="s">
        <v>32</v>
      </c>
      <c r="I27" s="7">
        <v>17622</v>
      </c>
      <c r="J27" t="s">
        <v>40</v>
      </c>
      <c r="K27">
        <v>2019</v>
      </c>
      <c r="L27">
        <f>B27</f>
        <v>5</v>
      </c>
      <c r="M27">
        <f>_xlfn.XLOOKUP(J27,Capacities!$A$2:$A$17,Capacities!$B$2:$B$17)</f>
        <v>20250</v>
      </c>
      <c r="N27">
        <f>I27/M27</f>
        <v>0.87022222222222223</v>
      </c>
    </row>
    <row r="28" spans="1:14" x14ac:dyDescent="0.35">
      <c r="A28" t="s">
        <v>74</v>
      </c>
      <c r="B28">
        <v>5</v>
      </c>
      <c r="C28" t="s">
        <v>15</v>
      </c>
      <c r="D28" s="5">
        <v>43358</v>
      </c>
      <c r="E28" s="6">
        <v>0.625</v>
      </c>
      <c r="F28" t="s">
        <v>28</v>
      </c>
      <c r="G28" t="s">
        <v>33</v>
      </c>
      <c r="H28" t="s">
        <v>87</v>
      </c>
      <c r="I28" s="7">
        <v>1342</v>
      </c>
      <c r="J28" t="s">
        <v>31</v>
      </c>
      <c r="K28">
        <v>2019</v>
      </c>
      <c r="L28">
        <f>B28</f>
        <v>5</v>
      </c>
      <c r="M28">
        <f>_xlfn.XLOOKUP(J28,Capacities!$A$2:$A$17,Capacities!$B$2:$B$17)</f>
        <v>9672</v>
      </c>
      <c r="N28">
        <f>I28/M28</f>
        <v>0.13875103391232424</v>
      </c>
    </row>
    <row r="29" spans="1:14" x14ac:dyDescent="0.35">
      <c r="A29" t="s">
        <v>74</v>
      </c>
      <c r="B29">
        <v>5</v>
      </c>
      <c r="C29" t="s">
        <v>15</v>
      </c>
      <c r="D29" s="5">
        <v>43358</v>
      </c>
      <c r="E29" s="6">
        <v>0.625</v>
      </c>
      <c r="F29" t="s">
        <v>22</v>
      </c>
      <c r="G29" t="s">
        <v>52</v>
      </c>
      <c r="H29" t="s">
        <v>26</v>
      </c>
      <c r="I29" s="7">
        <v>7218</v>
      </c>
      <c r="J29" t="s">
        <v>49</v>
      </c>
      <c r="K29">
        <v>2019</v>
      </c>
      <c r="L29">
        <f>B29</f>
        <v>5</v>
      </c>
      <c r="M29">
        <f>_xlfn.XLOOKUP(J29,Capacities!$A$2:$A$17,Capacities!$B$2:$B$17)</f>
        <v>13750</v>
      </c>
      <c r="N29">
        <f>I29/M29</f>
        <v>0.52494545454545449</v>
      </c>
    </row>
    <row r="30" spans="1:14" x14ac:dyDescent="0.35">
      <c r="A30" t="s">
        <v>74</v>
      </c>
      <c r="B30">
        <v>5</v>
      </c>
      <c r="C30" t="s">
        <v>15</v>
      </c>
      <c r="D30" s="5">
        <v>43358</v>
      </c>
      <c r="E30" s="6">
        <v>0.625</v>
      </c>
      <c r="F30" t="s">
        <v>34</v>
      </c>
      <c r="G30" t="s">
        <v>41</v>
      </c>
      <c r="H30" t="s">
        <v>20</v>
      </c>
      <c r="I30" s="7">
        <v>50130</v>
      </c>
      <c r="J30" t="s">
        <v>42</v>
      </c>
      <c r="K30">
        <v>2019</v>
      </c>
      <c r="L30">
        <f>B30</f>
        <v>5</v>
      </c>
      <c r="M30">
        <f>_xlfn.XLOOKUP(J30,Capacities!$A$2:$A$17,Capacities!$B$2:$B$17)</f>
        <v>51082</v>
      </c>
      <c r="N30">
        <f>I30/M30</f>
        <v>0.98136329822638113</v>
      </c>
    </row>
    <row r="31" spans="1:14" x14ac:dyDescent="0.35">
      <c r="A31" t="s">
        <v>74</v>
      </c>
      <c r="B31">
        <v>5</v>
      </c>
      <c r="C31" t="s">
        <v>15</v>
      </c>
      <c r="D31" s="5">
        <v>43358</v>
      </c>
      <c r="E31" s="6">
        <v>0.625</v>
      </c>
      <c r="F31" t="s">
        <v>24</v>
      </c>
      <c r="G31" t="s">
        <v>21</v>
      </c>
      <c r="H31" t="s">
        <v>30</v>
      </c>
      <c r="I31" s="7">
        <v>4880</v>
      </c>
      <c r="J31" t="s">
        <v>27</v>
      </c>
      <c r="K31">
        <v>2019</v>
      </c>
      <c r="L31">
        <f>B31</f>
        <v>5</v>
      </c>
      <c r="M31">
        <f>_xlfn.XLOOKUP(J31,Capacities!$A$2:$A$17,Capacities!$B$2:$B$17)</f>
        <v>10700</v>
      </c>
      <c r="N31">
        <f>I31/M31</f>
        <v>0.45607476635514016</v>
      </c>
    </row>
    <row r="32" spans="1:14" x14ac:dyDescent="0.35">
      <c r="A32" t="s">
        <v>74</v>
      </c>
      <c r="B32">
        <v>6</v>
      </c>
      <c r="C32" t="s">
        <v>15</v>
      </c>
      <c r="D32" s="5">
        <v>43365</v>
      </c>
      <c r="E32" s="6">
        <v>0.625</v>
      </c>
      <c r="F32" t="s">
        <v>30</v>
      </c>
      <c r="G32" t="s">
        <v>33</v>
      </c>
      <c r="H32" t="s">
        <v>22</v>
      </c>
      <c r="I32" s="7">
        <v>14027</v>
      </c>
      <c r="J32" t="s">
        <v>48</v>
      </c>
      <c r="K32">
        <v>2019</v>
      </c>
      <c r="L32">
        <f>B32</f>
        <v>6</v>
      </c>
      <c r="M32">
        <f>_xlfn.XLOOKUP(J32,Capacities!$A$2:$A$17,Capacities!$B$2:$B$17)</f>
        <v>21412</v>
      </c>
      <c r="N32">
        <f>I32/M32</f>
        <v>0.65509994395665982</v>
      </c>
    </row>
    <row r="33" spans="1:14" x14ac:dyDescent="0.35">
      <c r="A33" t="s">
        <v>74</v>
      </c>
      <c r="B33">
        <v>6</v>
      </c>
      <c r="C33" t="s">
        <v>15</v>
      </c>
      <c r="D33" s="5">
        <v>43365</v>
      </c>
      <c r="E33" s="6">
        <v>0.625</v>
      </c>
      <c r="F33" t="s">
        <v>20</v>
      </c>
      <c r="G33" t="s">
        <v>54</v>
      </c>
      <c r="H33" t="s">
        <v>37</v>
      </c>
      <c r="I33" s="7">
        <v>6076</v>
      </c>
      <c r="J33" t="s">
        <v>23</v>
      </c>
      <c r="K33">
        <v>2019</v>
      </c>
      <c r="L33">
        <f>B33</f>
        <v>6</v>
      </c>
      <c r="M33">
        <f>_xlfn.XLOOKUP(J33,Capacities!$A$2:$A$17,Capacities!$B$2:$B$17)</f>
        <v>11850</v>
      </c>
      <c r="N33">
        <f>I33/M33</f>
        <v>0.51274261603375526</v>
      </c>
    </row>
    <row r="34" spans="1:14" x14ac:dyDescent="0.35">
      <c r="A34" t="s">
        <v>74</v>
      </c>
      <c r="B34">
        <v>6</v>
      </c>
      <c r="C34" t="s">
        <v>15</v>
      </c>
      <c r="D34" s="5">
        <v>43365</v>
      </c>
      <c r="E34" s="6">
        <v>0.625</v>
      </c>
      <c r="F34" t="s">
        <v>87</v>
      </c>
      <c r="G34" t="s">
        <v>53</v>
      </c>
      <c r="H34" t="s">
        <v>39</v>
      </c>
      <c r="I34" s="7">
        <v>2830</v>
      </c>
      <c r="J34" t="s">
        <v>88</v>
      </c>
      <c r="K34">
        <v>2019</v>
      </c>
      <c r="L34">
        <f>B34</f>
        <v>6</v>
      </c>
      <c r="M34">
        <f>_xlfn.XLOOKUP(J34,Capacities!$A$2:$A$17,Capacities!$B$2:$B$17)</f>
        <v>6007</v>
      </c>
      <c r="N34">
        <f>I34/M34</f>
        <v>0.47111703013151324</v>
      </c>
    </row>
    <row r="35" spans="1:14" x14ac:dyDescent="0.35">
      <c r="A35" t="s">
        <v>74</v>
      </c>
      <c r="B35">
        <v>6</v>
      </c>
      <c r="C35" t="s">
        <v>15</v>
      </c>
      <c r="D35" s="5">
        <v>43365</v>
      </c>
      <c r="E35" s="6">
        <v>0.625</v>
      </c>
      <c r="F35" t="s">
        <v>26</v>
      </c>
      <c r="G35" t="s">
        <v>29</v>
      </c>
      <c r="H35" t="s">
        <v>28</v>
      </c>
      <c r="I35" s="7">
        <v>17798</v>
      </c>
      <c r="J35" t="s">
        <v>50</v>
      </c>
      <c r="K35">
        <v>2019</v>
      </c>
      <c r="L35">
        <f>B35</f>
        <v>6</v>
      </c>
      <c r="M35">
        <f>_xlfn.XLOOKUP(J35,Capacities!$A$2:$A$17,Capacities!$B$2:$B$17)</f>
        <v>19852</v>
      </c>
      <c r="N35">
        <f>I35/M35</f>
        <v>0.89653435422123717</v>
      </c>
    </row>
    <row r="36" spans="1:14" x14ac:dyDescent="0.35">
      <c r="A36" t="s">
        <v>74</v>
      </c>
      <c r="B36">
        <v>6</v>
      </c>
      <c r="C36" t="s">
        <v>36</v>
      </c>
      <c r="D36" s="5">
        <v>43366</v>
      </c>
      <c r="E36" s="6">
        <v>0.52083333333333337</v>
      </c>
      <c r="F36" t="s">
        <v>32</v>
      </c>
      <c r="G36" t="s">
        <v>45</v>
      </c>
      <c r="H36" t="s">
        <v>16</v>
      </c>
      <c r="I36" s="7">
        <v>10988</v>
      </c>
      <c r="J36" t="s">
        <v>86</v>
      </c>
      <c r="K36">
        <v>2019</v>
      </c>
      <c r="L36">
        <f>B36</f>
        <v>6</v>
      </c>
      <c r="M36">
        <f>_xlfn.XLOOKUP(J36,Capacities!$A$2:$A$17,Capacities!$B$2:$B$17)</f>
        <v>15003</v>
      </c>
      <c r="N36">
        <f>I36/M36</f>
        <v>0.73238685596214093</v>
      </c>
    </row>
    <row r="37" spans="1:14" x14ac:dyDescent="0.35">
      <c r="A37" t="s">
        <v>74</v>
      </c>
      <c r="B37">
        <v>6</v>
      </c>
      <c r="C37" t="s">
        <v>36</v>
      </c>
      <c r="D37" s="5">
        <v>43366</v>
      </c>
      <c r="E37" s="6">
        <v>0.625</v>
      </c>
      <c r="F37" t="s">
        <v>34</v>
      </c>
      <c r="G37" t="s">
        <v>73</v>
      </c>
      <c r="H37" t="s">
        <v>24</v>
      </c>
      <c r="I37" s="7">
        <v>48729</v>
      </c>
      <c r="J37" t="s">
        <v>42</v>
      </c>
      <c r="K37">
        <v>2019</v>
      </c>
      <c r="L37">
        <f>B37</f>
        <v>6</v>
      </c>
      <c r="M37">
        <f>_xlfn.XLOOKUP(J37,Capacities!$A$2:$A$17,Capacities!$B$2:$B$17)</f>
        <v>51082</v>
      </c>
      <c r="N37">
        <f>I37/M37</f>
        <v>0.95393680748600285</v>
      </c>
    </row>
    <row r="38" spans="1:14" x14ac:dyDescent="0.35">
      <c r="A38" t="s">
        <v>74</v>
      </c>
      <c r="B38">
        <v>7</v>
      </c>
      <c r="C38" t="s">
        <v>15</v>
      </c>
      <c r="D38" s="5">
        <v>43372</v>
      </c>
      <c r="E38" s="6">
        <v>0.625</v>
      </c>
      <c r="F38" t="s">
        <v>16</v>
      </c>
      <c r="G38" t="s">
        <v>33</v>
      </c>
      <c r="H38" t="s">
        <v>30</v>
      </c>
      <c r="I38" s="7">
        <v>59143</v>
      </c>
      <c r="J38" t="s">
        <v>19</v>
      </c>
      <c r="K38">
        <v>2019</v>
      </c>
      <c r="L38">
        <f>B38</f>
        <v>7</v>
      </c>
      <c r="M38">
        <f>_xlfn.XLOOKUP(J38,Capacities!$A$2:$A$17,Capacities!$B$2:$B$17)</f>
        <v>60500</v>
      </c>
      <c r="N38">
        <f>I38/M38</f>
        <v>0.97757024793388425</v>
      </c>
    </row>
    <row r="39" spans="1:14" x14ac:dyDescent="0.35">
      <c r="A39" t="s">
        <v>74</v>
      </c>
      <c r="B39">
        <v>7</v>
      </c>
      <c r="C39" t="s">
        <v>15</v>
      </c>
      <c r="D39" s="5">
        <v>43372</v>
      </c>
      <c r="E39" s="6">
        <v>0.625</v>
      </c>
      <c r="F39" t="s">
        <v>87</v>
      </c>
      <c r="G39" t="s">
        <v>25</v>
      </c>
      <c r="H39" t="s">
        <v>20</v>
      </c>
      <c r="I39" s="7">
        <v>1788</v>
      </c>
      <c r="J39" t="s">
        <v>88</v>
      </c>
      <c r="K39">
        <v>2019</v>
      </c>
      <c r="L39">
        <f>B39</f>
        <v>7</v>
      </c>
      <c r="M39">
        <f>_xlfn.XLOOKUP(J39,Capacities!$A$2:$A$17,Capacities!$B$2:$B$17)</f>
        <v>6007</v>
      </c>
      <c r="N39">
        <f>I39/M39</f>
        <v>0.29765273847178292</v>
      </c>
    </row>
    <row r="40" spans="1:14" x14ac:dyDescent="0.35">
      <c r="A40" t="s">
        <v>74</v>
      </c>
      <c r="B40">
        <v>7</v>
      </c>
      <c r="C40" t="s">
        <v>15</v>
      </c>
      <c r="D40" s="5">
        <v>43372</v>
      </c>
      <c r="E40" s="6">
        <v>0.625</v>
      </c>
      <c r="F40" t="s">
        <v>26</v>
      </c>
      <c r="G40" t="s">
        <v>45</v>
      </c>
      <c r="H40" t="s">
        <v>24</v>
      </c>
      <c r="I40" s="7">
        <v>17240</v>
      </c>
      <c r="J40" t="s">
        <v>50</v>
      </c>
      <c r="K40">
        <v>2019</v>
      </c>
      <c r="L40">
        <f>B40</f>
        <v>7</v>
      </c>
      <c r="M40">
        <f>_xlfn.XLOOKUP(J40,Capacities!$A$2:$A$17,Capacities!$B$2:$B$17)</f>
        <v>19852</v>
      </c>
      <c r="N40">
        <f>I40/M40</f>
        <v>0.86842635502720134</v>
      </c>
    </row>
    <row r="41" spans="1:14" x14ac:dyDescent="0.35">
      <c r="A41" t="s">
        <v>74</v>
      </c>
      <c r="B41">
        <v>7</v>
      </c>
      <c r="C41" t="s">
        <v>15</v>
      </c>
      <c r="D41" s="5">
        <v>43372</v>
      </c>
      <c r="E41" s="6">
        <v>0.625</v>
      </c>
      <c r="F41" t="s">
        <v>32</v>
      </c>
      <c r="G41" t="s">
        <v>56</v>
      </c>
      <c r="H41" t="s">
        <v>22</v>
      </c>
      <c r="I41" s="7">
        <v>5090</v>
      </c>
      <c r="J41" t="s">
        <v>86</v>
      </c>
      <c r="K41">
        <v>2019</v>
      </c>
      <c r="L41">
        <f>B41</f>
        <v>7</v>
      </c>
      <c r="M41">
        <f>_xlfn.XLOOKUP(J41,Capacities!$A$2:$A$17,Capacities!$B$2:$B$17)</f>
        <v>15003</v>
      </c>
      <c r="N41">
        <f>I41/M41</f>
        <v>0.33926548023728587</v>
      </c>
    </row>
    <row r="42" spans="1:14" x14ac:dyDescent="0.35">
      <c r="A42" t="s">
        <v>74</v>
      </c>
      <c r="B42">
        <v>7</v>
      </c>
      <c r="C42" t="s">
        <v>15</v>
      </c>
      <c r="D42" s="5">
        <v>43372</v>
      </c>
      <c r="E42" s="6">
        <v>0.625</v>
      </c>
      <c r="F42" t="s">
        <v>39</v>
      </c>
      <c r="G42" t="s">
        <v>52</v>
      </c>
      <c r="H42" t="s">
        <v>37</v>
      </c>
      <c r="I42" s="7">
        <v>6082</v>
      </c>
      <c r="J42" t="s">
        <v>46</v>
      </c>
      <c r="K42">
        <v>2019</v>
      </c>
      <c r="L42">
        <f>B42</f>
        <v>7</v>
      </c>
      <c r="M42">
        <f>_xlfn.XLOOKUP(J42,Capacities!$A$2:$A$17,Capacities!$B$2:$B$17)</f>
        <v>8006</v>
      </c>
      <c r="N42">
        <f>I42/M42</f>
        <v>0.75968023982013488</v>
      </c>
    </row>
    <row r="43" spans="1:14" x14ac:dyDescent="0.35">
      <c r="A43" t="s">
        <v>74</v>
      </c>
      <c r="B43">
        <v>7</v>
      </c>
      <c r="C43" t="s">
        <v>36</v>
      </c>
      <c r="D43" s="5">
        <v>43373</v>
      </c>
      <c r="E43" s="6">
        <v>0.5625</v>
      </c>
      <c r="F43" t="s">
        <v>28</v>
      </c>
      <c r="G43" t="s">
        <v>33</v>
      </c>
      <c r="H43" t="s">
        <v>34</v>
      </c>
      <c r="I43" s="7">
        <v>9246</v>
      </c>
      <c r="J43" t="s">
        <v>31</v>
      </c>
      <c r="K43">
        <v>2019</v>
      </c>
      <c r="L43">
        <f>B43</f>
        <v>7</v>
      </c>
      <c r="M43">
        <f>_xlfn.XLOOKUP(J43,Capacities!$A$2:$A$17,Capacities!$B$2:$B$17)</f>
        <v>9672</v>
      </c>
      <c r="N43">
        <f>I43/M43</f>
        <v>0.955955334987593</v>
      </c>
    </row>
    <row r="44" spans="1:14" x14ac:dyDescent="0.35">
      <c r="A44" t="s">
        <v>74</v>
      </c>
      <c r="B44">
        <v>8</v>
      </c>
      <c r="C44" t="s">
        <v>15</v>
      </c>
      <c r="D44" s="5">
        <v>43379</v>
      </c>
      <c r="E44" s="6">
        <v>0.625</v>
      </c>
      <c r="F44" t="s">
        <v>30</v>
      </c>
      <c r="G44" t="s">
        <v>64</v>
      </c>
      <c r="H44" t="s">
        <v>39</v>
      </c>
      <c r="I44" s="7">
        <v>14003</v>
      </c>
      <c r="J44" t="s">
        <v>48</v>
      </c>
      <c r="K44">
        <v>2019</v>
      </c>
      <c r="L44">
        <f>B44</f>
        <v>8</v>
      </c>
      <c r="M44">
        <f>_xlfn.XLOOKUP(J44,Capacities!$A$2:$A$17,Capacities!$B$2:$B$17)</f>
        <v>21412</v>
      </c>
      <c r="N44">
        <f>I44/M44</f>
        <v>0.6539790771529983</v>
      </c>
    </row>
    <row r="45" spans="1:14" x14ac:dyDescent="0.35">
      <c r="A45" t="s">
        <v>74</v>
      </c>
      <c r="B45">
        <v>8</v>
      </c>
      <c r="C45" t="s">
        <v>15</v>
      </c>
      <c r="D45" s="5">
        <v>43379</v>
      </c>
      <c r="E45" s="6">
        <v>0.625</v>
      </c>
      <c r="F45" t="s">
        <v>20</v>
      </c>
      <c r="G45" t="s">
        <v>55</v>
      </c>
      <c r="H45" t="s">
        <v>32</v>
      </c>
      <c r="I45" s="7">
        <v>5158</v>
      </c>
      <c r="J45" t="s">
        <v>23</v>
      </c>
      <c r="K45">
        <v>2019</v>
      </c>
      <c r="L45">
        <f>B45</f>
        <v>8</v>
      </c>
      <c r="M45">
        <f>_xlfn.XLOOKUP(J45,Capacities!$A$2:$A$17,Capacities!$B$2:$B$17)</f>
        <v>11850</v>
      </c>
      <c r="N45">
        <f>I45/M45</f>
        <v>0.43527426160337551</v>
      </c>
    </row>
    <row r="46" spans="1:14" x14ac:dyDescent="0.35">
      <c r="A46" t="s">
        <v>74</v>
      </c>
      <c r="B46">
        <v>8</v>
      </c>
      <c r="C46" t="s">
        <v>15</v>
      </c>
      <c r="D46" s="5">
        <v>43379</v>
      </c>
      <c r="E46" s="6">
        <v>0.625</v>
      </c>
      <c r="F46" t="s">
        <v>37</v>
      </c>
      <c r="G46" t="s">
        <v>63</v>
      </c>
      <c r="H46" t="s">
        <v>87</v>
      </c>
      <c r="I46" s="7">
        <v>16857</v>
      </c>
      <c r="J46" t="s">
        <v>40</v>
      </c>
      <c r="K46">
        <v>2019</v>
      </c>
      <c r="L46">
        <f>B46</f>
        <v>8</v>
      </c>
      <c r="M46">
        <f>_xlfn.XLOOKUP(J46,Capacities!$A$2:$A$17,Capacities!$B$2:$B$17)</f>
        <v>20250</v>
      </c>
      <c r="N46">
        <f>I46/M46</f>
        <v>0.83244444444444443</v>
      </c>
    </row>
    <row r="47" spans="1:14" x14ac:dyDescent="0.35">
      <c r="A47" t="s">
        <v>74</v>
      </c>
      <c r="B47">
        <v>8</v>
      </c>
      <c r="C47" t="s">
        <v>15</v>
      </c>
      <c r="D47" s="5">
        <v>43379</v>
      </c>
      <c r="E47" s="6">
        <v>0.625</v>
      </c>
      <c r="F47" t="s">
        <v>22</v>
      </c>
      <c r="G47" t="s">
        <v>21</v>
      </c>
      <c r="H47" t="s">
        <v>28</v>
      </c>
      <c r="I47" s="7">
        <v>4256</v>
      </c>
      <c r="J47" t="s">
        <v>49</v>
      </c>
      <c r="K47">
        <v>2019</v>
      </c>
      <c r="L47">
        <f>B47</f>
        <v>8</v>
      </c>
      <c r="M47">
        <f>_xlfn.XLOOKUP(J47,Capacities!$A$2:$A$17,Capacities!$B$2:$B$17)</f>
        <v>13750</v>
      </c>
      <c r="N47">
        <f>I47/M47</f>
        <v>0.30952727272727271</v>
      </c>
    </row>
    <row r="48" spans="1:14" x14ac:dyDescent="0.35">
      <c r="A48" t="s">
        <v>74</v>
      </c>
      <c r="B48">
        <v>8</v>
      </c>
      <c r="C48" t="s">
        <v>36</v>
      </c>
      <c r="D48" s="5">
        <v>43380</v>
      </c>
      <c r="E48" s="6">
        <v>0.625</v>
      </c>
      <c r="F48" t="s">
        <v>34</v>
      </c>
      <c r="G48" t="s">
        <v>56</v>
      </c>
      <c r="H48" t="s">
        <v>26</v>
      </c>
      <c r="I48" s="7">
        <v>49865</v>
      </c>
      <c r="J48" t="s">
        <v>42</v>
      </c>
      <c r="K48">
        <v>2019</v>
      </c>
      <c r="L48">
        <f>B48</f>
        <v>8</v>
      </c>
      <c r="M48">
        <f>_xlfn.XLOOKUP(J48,Capacities!$A$2:$A$17,Capacities!$B$2:$B$17)</f>
        <v>51082</v>
      </c>
      <c r="N48">
        <f>I48/M48</f>
        <v>0.97617556086292623</v>
      </c>
    </row>
    <row r="49" spans="1:14" x14ac:dyDescent="0.35">
      <c r="A49" t="s">
        <v>74</v>
      </c>
      <c r="B49">
        <v>8</v>
      </c>
      <c r="C49" t="s">
        <v>36</v>
      </c>
      <c r="D49" s="5">
        <v>43380</v>
      </c>
      <c r="E49" s="6">
        <v>0.64583333333333337</v>
      </c>
      <c r="F49" t="s">
        <v>24</v>
      </c>
      <c r="G49" t="s">
        <v>89</v>
      </c>
      <c r="H49" t="s">
        <v>16</v>
      </c>
      <c r="I49" s="7">
        <v>5993</v>
      </c>
      <c r="J49" t="s">
        <v>27</v>
      </c>
      <c r="K49">
        <v>2019</v>
      </c>
      <c r="L49">
        <f>B49</f>
        <v>8</v>
      </c>
      <c r="M49">
        <f>_xlfn.XLOOKUP(J49,Capacities!$A$2:$A$17,Capacities!$B$2:$B$17)</f>
        <v>10700</v>
      </c>
      <c r="N49">
        <f>I49/M49</f>
        <v>0.56009345794392529</v>
      </c>
    </row>
    <row r="50" spans="1:14" x14ac:dyDescent="0.35">
      <c r="A50" t="s">
        <v>74</v>
      </c>
      <c r="B50">
        <v>9</v>
      </c>
      <c r="C50" t="s">
        <v>15</v>
      </c>
      <c r="D50" s="5">
        <v>43393</v>
      </c>
      <c r="E50" s="6">
        <v>0.625</v>
      </c>
      <c r="F50" t="s">
        <v>16</v>
      </c>
      <c r="G50" t="s">
        <v>17</v>
      </c>
      <c r="H50" t="s">
        <v>37</v>
      </c>
      <c r="I50" s="7">
        <v>58452</v>
      </c>
      <c r="J50" t="s">
        <v>19</v>
      </c>
      <c r="K50">
        <v>2019</v>
      </c>
      <c r="L50">
        <f>B50</f>
        <v>9</v>
      </c>
      <c r="M50">
        <f>_xlfn.XLOOKUP(J50,Capacities!$A$2:$A$17,Capacities!$B$2:$B$17)</f>
        <v>60500</v>
      </c>
      <c r="N50">
        <f>I50/M50</f>
        <v>0.9661487603305785</v>
      </c>
    </row>
    <row r="51" spans="1:14" x14ac:dyDescent="0.35">
      <c r="A51" t="s">
        <v>74</v>
      </c>
      <c r="B51">
        <v>9</v>
      </c>
      <c r="C51" t="s">
        <v>15</v>
      </c>
      <c r="D51" s="5">
        <v>43393</v>
      </c>
      <c r="E51" s="6">
        <v>0.625</v>
      </c>
      <c r="F51" t="s">
        <v>26</v>
      </c>
      <c r="G51" t="s">
        <v>45</v>
      </c>
      <c r="H51" t="s">
        <v>30</v>
      </c>
      <c r="I51" s="7">
        <v>18051</v>
      </c>
      <c r="J51" t="s">
        <v>50</v>
      </c>
      <c r="K51">
        <v>2019</v>
      </c>
      <c r="L51">
        <f>B51</f>
        <v>9</v>
      </c>
      <c r="M51">
        <f>_xlfn.XLOOKUP(J51,Capacities!$A$2:$A$17,Capacities!$B$2:$B$17)</f>
        <v>19852</v>
      </c>
      <c r="N51">
        <f>I51/M51</f>
        <v>0.90927866209953656</v>
      </c>
    </row>
    <row r="52" spans="1:14" x14ac:dyDescent="0.35">
      <c r="A52" t="s">
        <v>74</v>
      </c>
      <c r="B52">
        <v>9</v>
      </c>
      <c r="C52" t="s">
        <v>15</v>
      </c>
      <c r="D52" s="5">
        <v>43393</v>
      </c>
      <c r="E52" s="6">
        <v>0.625</v>
      </c>
      <c r="F52" t="s">
        <v>28</v>
      </c>
      <c r="G52" t="s">
        <v>41</v>
      </c>
      <c r="H52" t="s">
        <v>20</v>
      </c>
      <c r="I52" s="7">
        <v>2137</v>
      </c>
      <c r="J52" t="s">
        <v>31</v>
      </c>
      <c r="K52">
        <v>2019</v>
      </c>
      <c r="L52">
        <f>B52</f>
        <v>9</v>
      </c>
      <c r="M52">
        <f>_xlfn.XLOOKUP(J52,Capacities!$A$2:$A$17,Capacities!$B$2:$B$17)</f>
        <v>9672</v>
      </c>
      <c r="N52">
        <f>I52/M52</f>
        <v>0.22094706368899916</v>
      </c>
    </row>
    <row r="53" spans="1:14" x14ac:dyDescent="0.35">
      <c r="A53" t="s">
        <v>74</v>
      </c>
      <c r="B53">
        <v>9</v>
      </c>
      <c r="C53" t="s">
        <v>15</v>
      </c>
      <c r="D53" s="5">
        <v>43393</v>
      </c>
      <c r="E53" s="6">
        <v>0.625</v>
      </c>
      <c r="F53" t="s">
        <v>22</v>
      </c>
      <c r="G53" t="s">
        <v>52</v>
      </c>
      <c r="H53" t="s">
        <v>24</v>
      </c>
      <c r="I53" s="7">
        <v>3752</v>
      </c>
      <c r="J53" t="s">
        <v>49</v>
      </c>
      <c r="K53">
        <v>2019</v>
      </c>
      <c r="L53">
        <f>B53</f>
        <v>9</v>
      </c>
      <c r="M53">
        <f>_xlfn.XLOOKUP(J53,Capacities!$A$2:$A$17,Capacities!$B$2:$B$17)</f>
        <v>13750</v>
      </c>
      <c r="N53">
        <f>I53/M53</f>
        <v>0.27287272727272727</v>
      </c>
    </row>
    <row r="54" spans="1:14" x14ac:dyDescent="0.35">
      <c r="A54" t="s">
        <v>74</v>
      </c>
      <c r="B54">
        <v>9</v>
      </c>
      <c r="C54" t="s">
        <v>15</v>
      </c>
      <c r="D54" s="5">
        <v>43393</v>
      </c>
      <c r="E54" s="6">
        <v>0.625</v>
      </c>
      <c r="F54" t="s">
        <v>39</v>
      </c>
      <c r="G54" t="s">
        <v>55</v>
      </c>
      <c r="H54" t="s">
        <v>32</v>
      </c>
      <c r="I54" s="7">
        <v>5889</v>
      </c>
      <c r="J54" t="s">
        <v>46</v>
      </c>
      <c r="K54">
        <v>2019</v>
      </c>
      <c r="L54">
        <f>B54</f>
        <v>9</v>
      </c>
      <c r="M54">
        <f>_xlfn.XLOOKUP(J54,Capacities!$A$2:$A$17,Capacities!$B$2:$B$17)</f>
        <v>8006</v>
      </c>
      <c r="N54">
        <f>I54/M54</f>
        <v>0.73557332000999254</v>
      </c>
    </row>
    <row r="55" spans="1:14" x14ac:dyDescent="0.35">
      <c r="A55" t="s">
        <v>74</v>
      </c>
      <c r="B55">
        <v>9</v>
      </c>
      <c r="C55" t="s">
        <v>36</v>
      </c>
      <c r="D55" s="5">
        <v>43394</v>
      </c>
      <c r="E55" s="6">
        <v>0.5625</v>
      </c>
      <c r="F55" t="s">
        <v>87</v>
      </c>
      <c r="G55" t="s">
        <v>57</v>
      </c>
      <c r="H55" t="s">
        <v>34</v>
      </c>
      <c r="I55" s="7">
        <v>5013</v>
      </c>
      <c r="J55" t="s">
        <v>88</v>
      </c>
      <c r="K55">
        <v>2019</v>
      </c>
      <c r="L55">
        <f>B55</f>
        <v>9</v>
      </c>
      <c r="M55">
        <f>_xlfn.XLOOKUP(J55,Capacities!$A$2:$A$17,Capacities!$B$2:$B$17)</f>
        <v>6007</v>
      </c>
      <c r="N55">
        <f>I55/M55</f>
        <v>0.83452638588313632</v>
      </c>
    </row>
    <row r="56" spans="1:14" x14ac:dyDescent="0.35">
      <c r="A56" t="s">
        <v>74</v>
      </c>
      <c r="B56">
        <v>10</v>
      </c>
      <c r="C56" t="s">
        <v>58</v>
      </c>
      <c r="D56" s="5">
        <v>43396</v>
      </c>
      <c r="E56" s="6">
        <v>0.82291666666666663</v>
      </c>
      <c r="F56" t="s">
        <v>20</v>
      </c>
      <c r="G56" t="s">
        <v>54</v>
      </c>
      <c r="H56" t="s">
        <v>26</v>
      </c>
      <c r="I56" s="7">
        <v>6112</v>
      </c>
      <c r="J56" t="s">
        <v>23</v>
      </c>
      <c r="K56">
        <v>2019</v>
      </c>
      <c r="L56">
        <f>B56</f>
        <v>10</v>
      </c>
      <c r="M56">
        <f>_xlfn.XLOOKUP(J56,Capacities!$A$2:$A$17,Capacities!$B$2:$B$17)</f>
        <v>11850</v>
      </c>
      <c r="N56">
        <f>I56/M56</f>
        <v>0.51578059071729954</v>
      </c>
    </row>
    <row r="57" spans="1:14" x14ac:dyDescent="0.35">
      <c r="A57" t="s">
        <v>74</v>
      </c>
      <c r="B57">
        <v>10</v>
      </c>
      <c r="C57" t="s">
        <v>15</v>
      </c>
      <c r="D57" s="5">
        <v>43400</v>
      </c>
      <c r="E57" s="6">
        <v>0.625</v>
      </c>
      <c r="F57" t="s">
        <v>32</v>
      </c>
      <c r="G57" t="s">
        <v>21</v>
      </c>
      <c r="H57" t="s">
        <v>87</v>
      </c>
      <c r="I57" s="7">
        <v>5023</v>
      </c>
      <c r="J57" t="s">
        <v>86</v>
      </c>
      <c r="K57">
        <v>2019</v>
      </c>
      <c r="L57">
        <f>B57</f>
        <v>10</v>
      </c>
      <c r="M57">
        <f>_xlfn.XLOOKUP(J57,Capacities!$A$2:$A$17,Capacities!$B$2:$B$17)</f>
        <v>15003</v>
      </c>
      <c r="N57">
        <f>I57/M57</f>
        <v>0.33479970672532161</v>
      </c>
    </row>
    <row r="58" spans="1:14" x14ac:dyDescent="0.35">
      <c r="A58" t="s">
        <v>74</v>
      </c>
      <c r="B58">
        <v>10</v>
      </c>
      <c r="C58" t="s">
        <v>15</v>
      </c>
      <c r="D58" s="5">
        <v>43400</v>
      </c>
      <c r="E58" s="6">
        <v>0.625</v>
      </c>
      <c r="F58" t="s">
        <v>24</v>
      </c>
      <c r="G58" t="s">
        <v>43</v>
      </c>
      <c r="H58" t="s">
        <v>39</v>
      </c>
      <c r="I58" s="7">
        <v>2716</v>
      </c>
      <c r="J58" t="s">
        <v>27</v>
      </c>
      <c r="K58">
        <v>2019</v>
      </c>
      <c r="L58">
        <f>B58</f>
        <v>10</v>
      </c>
      <c r="M58">
        <f>_xlfn.XLOOKUP(J58,Capacities!$A$2:$A$17,Capacities!$B$2:$B$17)</f>
        <v>10700</v>
      </c>
      <c r="N58">
        <f>I58/M58</f>
        <v>0.25383177570093457</v>
      </c>
    </row>
    <row r="59" spans="1:14" x14ac:dyDescent="0.35">
      <c r="A59" t="s">
        <v>74</v>
      </c>
      <c r="B59">
        <v>10</v>
      </c>
      <c r="C59" t="s">
        <v>58</v>
      </c>
      <c r="D59" s="5">
        <v>43445</v>
      </c>
      <c r="E59" s="6">
        <v>0.82291666666666663</v>
      </c>
      <c r="F59" t="s">
        <v>30</v>
      </c>
      <c r="G59" t="s">
        <v>65</v>
      </c>
      <c r="H59" t="s">
        <v>28</v>
      </c>
      <c r="I59" s="7">
        <v>12252</v>
      </c>
      <c r="J59" t="s">
        <v>48</v>
      </c>
      <c r="K59">
        <v>2019</v>
      </c>
      <c r="L59">
        <f>B59</f>
        <v>10</v>
      </c>
      <c r="M59">
        <f>_xlfn.XLOOKUP(J59,Capacities!$A$2:$A$17,Capacities!$B$2:$B$17)</f>
        <v>21412</v>
      </c>
      <c r="N59">
        <f>I59/M59</f>
        <v>0.57220250326919486</v>
      </c>
    </row>
    <row r="60" spans="1:14" x14ac:dyDescent="0.35">
      <c r="A60" t="s">
        <v>74</v>
      </c>
      <c r="B60">
        <v>10</v>
      </c>
      <c r="C60" t="s">
        <v>60</v>
      </c>
      <c r="D60" s="5">
        <v>43453</v>
      </c>
      <c r="E60" s="6">
        <v>0.82291666666666663</v>
      </c>
      <c r="F60" t="s">
        <v>16</v>
      </c>
      <c r="G60" t="s">
        <v>53</v>
      </c>
      <c r="H60" t="s">
        <v>22</v>
      </c>
      <c r="I60" s="7">
        <v>54703</v>
      </c>
      <c r="J60" t="s">
        <v>19</v>
      </c>
      <c r="K60">
        <v>2019</v>
      </c>
      <c r="L60">
        <f>B60</f>
        <v>10</v>
      </c>
      <c r="M60">
        <f>_xlfn.XLOOKUP(J60,Capacities!$A$2:$A$17,Capacities!$B$2:$B$17)</f>
        <v>60500</v>
      </c>
      <c r="N60">
        <f>I60/M60</f>
        <v>0.9041818181818182</v>
      </c>
    </row>
    <row r="61" spans="1:14" x14ac:dyDescent="0.35">
      <c r="A61" t="s">
        <v>74</v>
      </c>
      <c r="B61">
        <v>10</v>
      </c>
      <c r="C61" t="s">
        <v>60</v>
      </c>
      <c r="D61" s="5">
        <v>43453</v>
      </c>
      <c r="E61" s="6">
        <v>0.82291666666666663</v>
      </c>
      <c r="F61" t="s">
        <v>37</v>
      </c>
      <c r="G61" t="s">
        <v>29</v>
      </c>
      <c r="H61" t="s">
        <v>34</v>
      </c>
      <c r="I61" s="7">
        <v>18662</v>
      </c>
      <c r="J61" t="s">
        <v>40</v>
      </c>
      <c r="K61">
        <v>2019</v>
      </c>
      <c r="L61">
        <f>B61</f>
        <v>10</v>
      </c>
      <c r="M61">
        <f>_xlfn.XLOOKUP(J61,Capacities!$A$2:$A$17,Capacities!$B$2:$B$17)</f>
        <v>20250</v>
      </c>
      <c r="N61">
        <f>I61/M61</f>
        <v>0.9215802469135802</v>
      </c>
    </row>
    <row r="62" spans="1:14" x14ac:dyDescent="0.35">
      <c r="A62" t="s">
        <v>74</v>
      </c>
      <c r="B62">
        <v>11</v>
      </c>
      <c r="C62" t="s">
        <v>60</v>
      </c>
      <c r="D62" s="5">
        <v>43404</v>
      </c>
      <c r="E62" s="6">
        <v>0.82291666666666663</v>
      </c>
      <c r="F62" t="s">
        <v>30</v>
      </c>
      <c r="G62" t="s">
        <v>53</v>
      </c>
      <c r="H62" t="s">
        <v>87</v>
      </c>
      <c r="I62" s="7">
        <v>12365</v>
      </c>
      <c r="J62" t="s">
        <v>48</v>
      </c>
      <c r="K62">
        <v>2019</v>
      </c>
      <c r="L62">
        <f>B62</f>
        <v>11</v>
      </c>
      <c r="M62">
        <f>_xlfn.XLOOKUP(J62,Capacities!$A$2:$A$17,Capacities!$B$2:$B$17)</f>
        <v>21412</v>
      </c>
      <c r="N62">
        <f>I62/M62</f>
        <v>0.57747991780310104</v>
      </c>
    </row>
    <row r="63" spans="1:14" x14ac:dyDescent="0.35">
      <c r="A63" t="s">
        <v>74</v>
      </c>
      <c r="B63">
        <v>11</v>
      </c>
      <c r="C63" t="s">
        <v>60</v>
      </c>
      <c r="D63" s="5">
        <v>43404</v>
      </c>
      <c r="E63" s="6">
        <v>0.82291666666666663</v>
      </c>
      <c r="F63" t="s">
        <v>20</v>
      </c>
      <c r="G63" t="s">
        <v>62</v>
      </c>
      <c r="H63" t="s">
        <v>16</v>
      </c>
      <c r="I63" s="7">
        <v>7960</v>
      </c>
      <c r="J63" t="s">
        <v>23</v>
      </c>
      <c r="K63">
        <v>2019</v>
      </c>
      <c r="L63">
        <f>B63</f>
        <v>11</v>
      </c>
      <c r="M63">
        <f>_xlfn.XLOOKUP(J63,Capacities!$A$2:$A$17,Capacities!$B$2:$B$17)</f>
        <v>11850</v>
      </c>
      <c r="N63">
        <f>I63/M63</f>
        <v>0.67172995780590716</v>
      </c>
    </row>
    <row r="64" spans="1:14" x14ac:dyDescent="0.35">
      <c r="A64" t="s">
        <v>74</v>
      </c>
      <c r="B64">
        <v>11</v>
      </c>
      <c r="C64" t="s">
        <v>60</v>
      </c>
      <c r="D64" s="5">
        <v>43404</v>
      </c>
      <c r="E64" s="6">
        <v>0.82291666666666663</v>
      </c>
      <c r="F64" t="s">
        <v>26</v>
      </c>
      <c r="G64" t="s">
        <v>29</v>
      </c>
      <c r="H64" t="s">
        <v>37</v>
      </c>
      <c r="I64" s="7">
        <v>19410</v>
      </c>
      <c r="J64" t="s">
        <v>50</v>
      </c>
      <c r="K64">
        <v>2019</v>
      </c>
      <c r="L64">
        <f>B64</f>
        <v>11</v>
      </c>
      <c r="M64">
        <f>_xlfn.XLOOKUP(J64,Capacities!$A$2:$A$17,Capacities!$B$2:$B$17)</f>
        <v>19852</v>
      </c>
      <c r="N64">
        <f>I64/M64</f>
        <v>0.9777352407817852</v>
      </c>
    </row>
    <row r="65" spans="1:14" x14ac:dyDescent="0.35">
      <c r="A65" t="s">
        <v>74</v>
      </c>
      <c r="B65">
        <v>11</v>
      </c>
      <c r="C65" t="s">
        <v>60</v>
      </c>
      <c r="D65" s="5">
        <v>43404</v>
      </c>
      <c r="E65" s="6">
        <v>0.82291666666666663</v>
      </c>
      <c r="F65" t="s">
        <v>28</v>
      </c>
      <c r="G65" t="s">
        <v>52</v>
      </c>
      <c r="H65" t="s">
        <v>24</v>
      </c>
      <c r="I65" s="7">
        <v>1476</v>
      </c>
      <c r="J65" t="s">
        <v>31</v>
      </c>
      <c r="K65">
        <v>2019</v>
      </c>
      <c r="L65">
        <f>B65</f>
        <v>11</v>
      </c>
      <c r="M65">
        <f>_xlfn.XLOOKUP(J65,Capacities!$A$2:$A$17,Capacities!$B$2:$B$17)</f>
        <v>9672</v>
      </c>
      <c r="N65">
        <f>I65/M65</f>
        <v>0.15260545905707196</v>
      </c>
    </row>
    <row r="66" spans="1:14" x14ac:dyDescent="0.35">
      <c r="A66" t="s">
        <v>74</v>
      </c>
      <c r="B66">
        <v>11</v>
      </c>
      <c r="C66" t="s">
        <v>60</v>
      </c>
      <c r="D66" s="5">
        <v>43404</v>
      </c>
      <c r="E66" s="6">
        <v>0.82291666666666663</v>
      </c>
      <c r="F66" t="s">
        <v>34</v>
      </c>
      <c r="G66" t="s">
        <v>21</v>
      </c>
      <c r="H66" t="s">
        <v>32</v>
      </c>
      <c r="I66" s="7">
        <v>49279</v>
      </c>
      <c r="J66" t="s">
        <v>42</v>
      </c>
      <c r="K66">
        <v>2019</v>
      </c>
      <c r="L66">
        <f>B66</f>
        <v>11</v>
      </c>
      <c r="M66">
        <f>_xlfn.XLOOKUP(J66,Capacities!$A$2:$A$17,Capacities!$B$2:$B$17)</f>
        <v>51082</v>
      </c>
      <c r="N66">
        <f>I66/M66</f>
        <v>0.9647038095610978</v>
      </c>
    </row>
    <row r="67" spans="1:14" x14ac:dyDescent="0.35">
      <c r="A67" t="s">
        <v>74</v>
      </c>
      <c r="B67">
        <v>11</v>
      </c>
      <c r="C67" t="s">
        <v>60</v>
      </c>
      <c r="D67" s="5">
        <v>43404</v>
      </c>
      <c r="E67" s="6">
        <v>0.82291666666666663</v>
      </c>
      <c r="F67" t="s">
        <v>39</v>
      </c>
      <c r="G67" t="s">
        <v>25</v>
      </c>
      <c r="H67" t="s">
        <v>22</v>
      </c>
      <c r="I67" s="7">
        <v>4001</v>
      </c>
      <c r="J67" t="s">
        <v>46</v>
      </c>
      <c r="K67">
        <v>2019</v>
      </c>
      <c r="L67">
        <f>B67</f>
        <v>11</v>
      </c>
      <c r="M67">
        <f>_xlfn.XLOOKUP(J67,Capacities!$A$2:$A$17,Capacities!$B$2:$B$17)</f>
        <v>8006</v>
      </c>
      <c r="N67">
        <f>I67/M67</f>
        <v>0.4997501873594804</v>
      </c>
    </row>
    <row r="68" spans="1:14" x14ac:dyDescent="0.35">
      <c r="A68" t="s">
        <v>74</v>
      </c>
      <c r="B68">
        <v>12</v>
      </c>
      <c r="C68" t="s">
        <v>15</v>
      </c>
      <c r="D68" s="5">
        <v>43407</v>
      </c>
      <c r="E68" s="6">
        <v>0.52083333333333337</v>
      </c>
      <c r="F68" t="s">
        <v>39</v>
      </c>
      <c r="G68" t="s">
        <v>25</v>
      </c>
      <c r="H68" t="s">
        <v>34</v>
      </c>
      <c r="I68" s="7">
        <v>6033</v>
      </c>
      <c r="J68" t="s">
        <v>46</v>
      </c>
      <c r="K68">
        <v>2019</v>
      </c>
      <c r="L68">
        <f>B68</f>
        <v>12</v>
      </c>
      <c r="M68">
        <f>_xlfn.XLOOKUP(J68,Capacities!$A$2:$A$17,Capacities!$B$2:$B$17)</f>
        <v>8006</v>
      </c>
      <c r="N68">
        <f>I68/M68</f>
        <v>0.75355983012740446</v>
      </c>
    </row>
    <row r="69" spans="1:14" x14ac:dyDescent="0.35">
      <c r="A69" t="s">
        <v>74</v>
      </c>
      <c r="B69">
        <v>12</v>
      </c>
      <c r="C69" t="s">
        <v>15</v>
      </c>
      <c r="D69" s="5">
        <v>43407</v>
      </c>
      <c r="E69" s="6">
        <v>0.625</v>
      </c>
      <c r="F69" t="s">
        <v>16</v>
      </c>
      <c r="G69" t="s">
        <v>66</v>
      </c>
      <c r="H69" t="s">
        <v>26</v>
      </c>
      <c r="I69" s="7">
        <v>58831</v>
      </c>
      <c r="J69" t="s">
        <v>19</v>
      </c>
      <c r="K69">
        <v>2019</v>
      </c>
      <c r="L69">
        <f>B69</f>
        <v>12</v>
      </c>
      <c r="M69">
        <f>_xlfn.XLOOKUP(J69,Capacities!$A$2:$A$17,Capacities!$B$2:$B$17)</f>
        <v>60500</v>
      </c>
      <c r="N69">
        <f>I69/M69</f>
        <v>0.97241322314049583</v>
      </c>
    </row>
    <row r="70" spans="1:14" x14ac:dyDescent="0.35">
      <c r="A70" t="s">
        <v>74</v>
      </c>
      <c r="B70">
        <v>12</v>
      </c>
      <c r="C70" t="s">
        <v>15</v>
      </c>
      <c r="D70" s="5">
        <v>43407</v>
      </c>
      <c r="E70" s="6">
        <v>0.625</v>
      </c>
      <c r="F70" t="s">
        <v>87</v>
      </c>
      <c r="G70" t="s">
        <v>33</v>
      </c>
      <c r="H70" t="s">
        <v>28</v>
      </c>
      <c r="I70" s="7">
        <v>1459</v>
      </c>
      <c r="J70" t="s">
        <v>88</v>
      </c>
      <c r="K70">
        <v>2019</v>
      </c>
      <c r="L70">
        <f>B70</f>
        <v>12</v>
      </c>
      <c r="M70">
        <f>_xlfn.XLOOKUP(J70,Capacities!$A$2:$A$17,Capacities!$B$2:$B$17)</f>
        <v>6007</v>
      </c>
      <c r="N70">
        <f>I70/M70</f>
        <v>0.24288330281338438</v>
      </c>
    </row>
    <row r="71" spans="1:14" x14ac:dyDescent="0.35">
      <c r="A71" t="s">
        <v>74</v>
      </c>
      <c r="B71">
        <v>12</v>
      </c>
      <c r="C71" t="s">
        <v>15</v>
      </c>
      <c r="D71" s="5">
        <v>43407</v>
      </c>
      <c r="E71" s="6">
        <v>0.625</v>
      </c>
      <c r="F71" t="s">
        <v>37</v>
      </c>
      <c r="G71" t="s">
        <v>52</v>
      </c>
      <c r="H71" t="s">
        <v>24</v>
      </c>
      <c r="I71" s="7">
        <v>17307</v>
      </c>
      <c r="J71" t="s">
        <v>40</v>
      </c>
      <c r="K71">
        <v>2019</v>
      </c>
      <c r="L71">
        <f>B71</f>
        <v>12</v>
      </c>
      <c r="M71">
        <f>_xlfn.XLOOKUP(J71,Capacities!$A$2:$A$17,Capacities!$B$2:$B$17)</f>
        <v>20250</v>
      </c>
      <c r="N71">
        <f>I71/M71</f>
        <v>0.85466666666666669</v>
      </c>
    </row>
    <row r="72" spans="1:14" x14ac:dyDescent="0.35">
      <c r="A72" t="s">
        <v>74</v>
      </c>
      <c r="B72">
        <v>12</v>
      </c>
      <c r="C72" t="s">
        <v>15</v>
      </c>
      <c r="D72" s="5">
        <v>43407</v>
      </c>
      <c r="E72" s="6">
        <v>0.625</v>
      </c>
      <c r="F72" t="s">
        <v>22</v>
      </c>
      <c r="G72" t="s">
        <v>33</v>
      </c>
      <c r="H72" t="s">
        <v>20</v>
      </c>
      <c r="I72" s="7">
        <v>4129</v>
      </c>
      <c r="J72" t="s">
        <v>49</v>
      </c>
      <c r="K72">
        <v>2019</v>
      </c>
      <c r="L72">
        <f>B72</f>
        <v>12</v>
      </c>
      <c r="M72">
        <f>_xlfn.XLOOKUP(J72,Capacities!$A$2:$A$17,Capacities!$B$2:$B$17)</f>
        <v>13750</v>
      </c>
      <c r="N72">
        <f>I72/M72</f>
        <v>0.30029090909090911</v>
      </c>
    </row>
    <row r="73" spans="1:14" x14ac:dyDescent="0.35">
      <c r="A73" t="s">
        <v>74</v>
      </c>
      <c r="B73">
        <v>12</v>
      </c>
      <c r="C73" t="s">
        <v>36</v>
      </c>
      <c r="D73" s="5">
        <v>43408</v>
      </c>
      <c r="E73" s="6">
        <v>0.51041666666666663</v>
      </c>
      <c r="F73" t="s">
        <v>32</v>
      </c>
      <c r="G73" t="s">
        <v>55</v>
      </c>
      <c r="H73" t="s">
        <v>30</v>
      </c>
      <c r="I73" s="7">
        <v>5270</v>
      </c>
      <c r="J73" t="s">
        <v>86</v>
      </c>
      <c r="K73">
        <v>2019</v>
      </c>
      <c r="L73">
        <f>B73</f>
        <v>12</v>
      </c>
      <c r="M73">
        <f>_xlfn.XLOOKUP(J73,Capacities!$A$2:$A$17,Capacities!$B$2:$B$17)</f>
        <v>15003</v>
      </c>
      <c r="N73">
        <f>I73/M73</f>
        <v>0.35126308071718987</v>
      </c>
    </row>
    <row r="74" spans="1:14" x14ac:dyDescent="0.35">
      <c r="A74" t="s">
        <v>74</v>
      </c>
      <c r="B74">
        <v>13</v>
      </c>
      <c r="C74" t="s">
        <v>79</v>
      </c>
      <c r="D74" s="5">
        <v>43413</v>
      </c>
      <c r="E74" s="6">
        <v>0.82291666666666663</v>
      </c>
      <c r="F74" t="s">
        <v>30</v>
      </c>
      <c r="G74" t="s">
        <v>33</v>
      </c>
      <c r="H74" t="s">
        <v>37</v>
      </c>
      <c r="I74" s="7">
        <v>15629</v>
      </c>
      <c r="J74" t="s">
        <v>48</v>
      </c>
      <c r="K74">
        <v>2019</v>
      </c>
      <c r="L74">
        <f>B74</f>
        <v>13</v>
      </c>
      <c r="M74">
        <f>_xlfn.XLOOKUP(J74,Capacities!$A$2:$A$17,Capacities!$B$2:$B$17)</f>
        <v>21412</v>
      </c>
      <c r="N74">
        <f>I74/M74</f>
        <v>0.7299178031010648</v>
      </c>
    </row>
    <row r="75" spans="1:14" x14ac:dyDescent="0.35">
      <c r="A75" t="s">
        <v>74</v>
      </c>
      <c r="B75">
        <v>13</v>
      </c>
      <c r="C75" t="s">
        <v>15</v>
      </c>
      <c r="D75" s="5">
        <v>43414</v>
      </c>
      <c r="E75" s="6">
        <v>0.625</v>
      </c>
      <c r="F75" t="s">
        <v>20</v>
      </c>
      <c r="G75" t="s">
        <v>21</v>
      </c>
      <c r="H75" t="s">
        <v>39</v>
      </c>
      <c r="I75" s="7">
        <v>5552</v>
      </c>
      <c r="J75" t="s">
        <v>23</v>
      </c>
      <c r="K75">
        <v>2019</v>
      </c>
      <c r="L75">
        <f>B75</f>
        <v>13</v>
      </c>
      <c r="M75">
        <f>_xlfn.XLOOKUP(J75,Capacities!$A$2:$A$17,Capacities!$B$2:$B$17)</f>
        <v>11850</v>
      </c>
      <c r="N75">
        <f>I75/M75</f>
        <v>0.46852320675105485</v>
      </c>
    </row>
    <row r="76" spans="1:14" x14ac:dyDescent="0.35">
      <c r="A76" t="s">
        <v>74</v>
      </c>
      <c r="B76">
        <v>13</v>
      </c>
      <c r="C76" t="s">
        <v>15</v>
      </c>
      <c r="D76" s="5">
        <v>43414</v>
      </c>
      <c r="E76" s="6">
        <v>0.625</v>
      </c>
      <c r="F76" t="s">
        <v>26</v>
      </c>
      <c r="G76" t="s">
        <v>52</v>
      </c>
      <c r="H76" t="s">
        <v>32</v>
      </c>
      <c r="I76" s="7">
        <v>17417</v>
      </c>
      <c r="J76" t="s">
        <v>50</v>
      </c>
      <c r="K76">
        <v>2019</v>
      </c>
      <c r="L76">
        <f>B76</f>
        <v>13</v>
      </c>
      <c r="M76">
        <f>_xlfn.XLOOKUP(J76,Capacities!$A$2:$A$17,Capacities!$B$2:$B$17)</f>
        <v>19852</v>
      </c>
      <c r="N76">
        <f>I76/M76</f>
        <v>0.87734233326616962</v>
      </c>
    </row>
    <row r="77" spans="1:14" x14ac:dyDescent="0.35">
      <c r="A77" t="s">
        <v>74</v>
      </c>
      <c r="B77">
        <v>13</v>
      </c>
      <c r="C77" t="s">
        <v>15</v>
      </c>
      <c r="D77" s="5">
        <v>43414</v>
      </c>
      <c r="E77" s="6">
        <v>0.625</v>
      </c>
      <c r="F77" t="s">
        <v>24</v>
      </c>
      <c r="G77" t="s">
        <v>41</v>
      </c>
      <c r="H77" t="s">
        <v>87</v>
      </c>
      <c r="I77" s="7">
        <v>2175</v>
      </c>
      <c r="J77" t="s">
        <v>27</v>
      </c>
      <c r="K77">
        <v>2019</v>
      </c>
      <c r="L77">
        <f>B77</f>
        <v>13</v>
      </c>
      <c r="M77">
        <f>_xlfn.XLOOKUP(J77,Capacities!$A$2:$A$17,Capacities!$B$2:$B$17)</f>
        <v>10700</v>
      </c>
      <c r="N77">
        <f>I77/M77</f>
        <v>0.20327102803738317</v>
      </c>
    </row>
    <row r="78" spans="1:14" x14ac:dyDescent="0.35">
      <c r="A78" t="s">
        <v>74</v>
      </c>
      <c r="B78">
        <v>13</v>
      </c>
      <c r="C78" t="s">
        <v>36</v>
      </c>
      <c r="D78" s="5">
        <v>43415</v>
      </c>
      <c r="E78" s="6">
        <v>0.5</v>
      </c>
      <c r="F78" t="s">
        <v>28</v>
      </c>
      <c r="G78" t="s">
        <v>29</v>
      </c>
      <c r="H78" t="s">
        <v>16</v>
      </c>
      <c r="I78" s="7">
        <v>9016</v>
      </c>
      <c r="J78" t="s">
        <v>31</v>
      </c>
      <c r="K78">
        <v>2019</v>
      </c>
      <c r="L78">
        <f>B78</f>
        <v>13</v>
      </c>
      <c r="M78">
        <f>_xlfn.XLOOKUP(J78,Capacities!$A$2:$A$17,Capacities!$B$2:$B$17)</f>
        <v>9672</v>
      </c>
      <c r="N78">
        <f>I78/M78</f>
        <v>0.93217535153019027</v>
      </c>
    </row>
    <row r="79" spans="1:14" x14ac:dyDescent="0.35">
      <c r="A79" t="s">
        <v>74</v>
      </c>
      <c r="B79">
        <v>13</v>
      </c>
      <c r="C79" t="s">
        <v>36</v>
      </c>
      <c r="D79" s="5">
        <v>43415</v>
      </c>
      <c r="E79" s="6">
        <v>0.625</v>
      </c>
      <c r="F79" t="s">
        <v>34</v>
      </c>
      <c r="G79" t="s">
        <v>67</v>
      </c>
      <c r="H79" t="s">
        <v>22</v>
      </c>
      <c r="I79" s="7">
        <v>49802</v>
      </c>
      <c r="J79" t="s">
        <v>42</v>
      </c>
      <c r="K79">
        <v>2019</v>
      </c>
      <c r="L79">
        <f>B79</f>
        <v>13</v>
      </c>
      <c r="M79">
        <f>_xlfn.XLOOKUP(J79,Capacities!$A$2:$A$17,Capacities!$B$2:$B$17)</f>
        <v>51082</v>
      </c>
      <c r="N79">
        <f>I79/M79</f>
        <v>0.97494224971614263</v>
      </c>
    </row>
    <row r="80" spans="1:14" x14ac:dyDescent="0.35">
      <c r="A80" t="s">
        <v>74</v>
      </c>
      <c r="B80">
        <v>14</v>
      </c>
      <c r="C80" t="s">
        <v>15</v>
      </c>
      <c r="D80" s="5">
        <v>43428</v>
      </c>
      <c r="E80" s="6">
        <v>0.52083333333333337</v>
      </c>
      <c r="F80" t="s">
        <v>87</v>
      </c>
      <c r="G80" t="s">
        <v>54</v>
      </c>
      <c r="H80" t="s">
        <v>16</v>
      </c>
      <c r="I80" s="7">
        <v>4688</v>
      </c>
      <c r="J80" t="s">
        <v>88</v>
      </c>
      <c r="K80">
        <v>2019</v>
      </c>
      <c r="L80">
        <f>B80</f>
        <v>14</v>
      </c>
      <c r="M80">
        <f>_xlfn.XLOOKUP(J80,Capacities!$A$2:$A$17,Capacities!$B$2:$B$17)</f>
        <v>6007</v>
      </c>
      <c r="N80">
        <f>I80/M80</f>
        <v>0.78042284001997675</v>
      </c>
    </row>
    <row r="81" spans="1:14" x14ac:dyDescent="0.35">
      <c r="A81" t="s">
        <v>74</v>
      </c>
      <c r="B81">
        <v>14</v>
      </c>
      <c r="C81" t="s">
        <v>15</v>
      </c>
      <c r="D81" s="5">
        <v>43428</v>
      </c>
      <c r="E81" s="6">
        <v>0.625</v>
      </c>
      <c r="F81" t="s">
        <v>37</v>
      </c>
      <c r="G81" t="s">
        <v>51</v>
      </c>
      <c r="H81" t="s">
        <v>20</v>
      </c>
      <c r="I81" s="7">
        <v>16190</v>
      </c>
      <c r="J81" t="s">
        <v>40</v>
      </c>
      <c r="K81">
        <v>2019</v>
      </c>
      <c r="L81">
        <f>B81</f>
        <v>14</v>
      </c>
      <c r="M81">
        <f>_xlfn.XLOOKUP(J81,Capacities!$A$2:$A$17,Capacities!$B$2:$B$17)</f>
        <v>20250</v>
      </c>
      <c r="N81">
        <f>I81/M81</f>
        <v>0.7995061728395062</v>
      </c>
    </row>
    <row r="82" spans="1:14" x14ac:dyDescent="0.35">
      <c r="A82" t="s">
        <v>74</v>
      </c>
      <c r="B82">
        <v>14</v>
      </c>
      <c r="C82" t="s">
        <v>15</v>
      </c>
      <c r="D82" s="5">
        <v>43428</v>
      </c>
      <c r="E82" s="6">
        <v>0.625</v>
      </c>
      <c r="F82" t="s">
        <v>22</v>
      </c>
      <c r="G82" t="s">
        <v>53</v>
      </c>
      <c r="H82" t="s">
        <v>30</v>
      </c>
      <c r="I82" s="7">
        <v>5131</v>
      </c>
      <c r="J82" t="s">
        <v>49</v>
      </c>
      <c r="K82">
        <v>2019</v>
      </c>
      <c r="L82">
        <f>B82</f>
        <v>14</v>
      </c>
      <c r="M82">
        <f>_xlfn.XLOOKUP(J82,Capacities!$A$2:$A$17,Capacities!$B$2:$B$17)</f>
        <v>13750</v>
      </c>
      <c r="N82">
        <f>I82/M82</f>
        <v>0.37316363636363636</v>
      </c>
    </row>
    <row r="83" spans="1:14" x14ac:dyDescent="0.35">
      <c r="A83" t="s">
        <v>74</v>
      </c>
      <c r="B83">
        <v>14</v>
      </c>
      <c r="C83" t="s">
        <v>15</v>
      </c>
      <c r="D83" s="5">
        <v>43428</v>
      </c>
      <c r="E83" s="6">
        <v>0.625</v>
      </c>
      <c r="F83" t="s">
        <v>34</v>
      </c>
      <c r="G83" t="s">
        <v>53</v>
      </c>
      <c r="H83" t="s">
        <v>28</v>
      </c>
      <c r="I83" s="7">
        <v>49448</v>
      </c>
      <c r="J83" t="s">
        <v>42</v>
      </c>
      <c r="K83">
        <v>2019</v>
      </c>
      <c r="L83">
        <f>B83</f>
        <v>14</v>
      </c>
      <c r="M83">
        <f>_xlfn.XLOOKUP(J83,Capacities!$A$2:$A$17,Capacities!$B$2:$B$17)</f>
        <v>51082</v>
      </c>
      <c r="N83">
        <f>I83/M83</f>
        <v>0.96801221565326334</v>
      </c>
    </row>
    <row r="84" spans="1:14" x14ac:dyDescent="0.35">
      <c r="A84" t="s">
        <v>74</v>
      </c>
      <c r="B84">
        <v>14</v>
      </c>
      <c r="C84" t="s">
        <v>15</v>
      </c>
      <c r="D84" s="5">
        <v>43428</v>
      </c>
      <c r="E84" s="6">
        <v>0.625</v>
      </c>
      <c r="F84" t="s">
        <v>24</v>
      </c>
      <c r="G84" t="s">
        <v>29</v>
      </c>
      <c r="H84" t="s">
        <v>32</v>
      </c>
      <c r="I84" s="7">
        <v>3559</v>
      </c>
      <c r="J84" t="s">
        <v>27</v>
      </c>
      <c r="K84">
        <v>2019</v>
      </c>
      <c r="L84">
        <f>B84</f>
        <v>14</v>
      </c>
      <c r="M84">
        <f>_xlfn.XLOOKUP(J84,Capacities!$A$2:$A$17,Capacities!$B$2:$B$17)</f>
        <v>10700</v>
      </c>
      <c r="N84">
        <f>I84/M84</f>
        <v>0.33261682242990653</v>
      </c>
    </row>
    <row r="85" spans="1:14" x14ac:dyDescent="0.35">
      <c r="A85" t="s">
        <v>74</v>
      </c>
      <c r="B85">
        <v>14</v>
      </c>
      <c r="C85" t="s">
        <v>15</v>
      </c>
      <c r="D85" s="5">
        <v>43428</v>
      </c>
      <c r="E85" s="6">
        <v>0.625</v>
      </c>
      <c r="F85" t="s">
        <v>39</v>
      </c>
      <c r="G85" t="s">
        <v>43</v>
      </c>
      <c r="H85" t="s">
        <v>26</v>
      </c>
      <c r="I85" s="7">
        <v>5177</v>
      </c>
      <c r="J85" t="s">
        <v>46</v>
      </c>
      <c r="K85">
        <v>2019</v>
      </c>
      <c r="L85">
        <f>B85</f>
        <v>14</v>
      </c>
      <c r="M85">
        <f>_xlfn.XLOOKUP(J85,Capacities!$A$2:$A$17,Capacities!$B$2:$B$17)</f>
        <v>8006</v>
      </c>
      <c r="N85">
        <f>I85/M85</f>
        <v>0.64664001998501119</v>
      </c>
    </row>
    <row r="86" spans="1:14" x14ac:dyDescent="0.35">
      <c r="A86" t="s">
        <v>74</v>
      </c>
      <c r="B86">
        <v>15</v>
      </c>
      <c r="C86" t="s">
        <v>15</v>
      </c>
      <c r="D86" s="5">
        <v>43435</v>
      </c>
      <c r="E86" s="6">
        <v>0.625</v>
      </c>
      <c r="F86" t="s">
        <v>32</v>
      </c>
      <c r="G86" t="s">
        <v>53</v>
      </c>
      <c r="H86" t="s">
        <v>37</v>
      </c>
      <c r="I86" s="7">
        <v>6036</v>
      </c>
      <c r="J86" t="s">
        <v>86</v>
      </c>
      <c r="K86">
        <v>2019</v>
      </c>
      <c r="L86">
        <f>B86</f>
        <v>15</v>
      </c>
      <c r="M86">
        <f>_xlfn.XLOOKUP(J86,Capacities!$A$2:$A$17,Capacities!$B$2:$B$17)</f>
        <v>15003</v>
      </c>
      <c r="N86">
        <f>I86/M86</f>
        <v>0.40231953609278143</v>
      </c>
    </row>
    <row r="87" spans="1:14" x14ac:dyDescent="0.35">
      <c r="A87" t="s">
        <v>74</v>
      </c>
      <c r="B87">
        <v>15</v>
      </c>
      <c r="C87" t="s">
        <v>15</v>
      </c>
      <c r="D87" s="5">
        <v>43435</v>
      </c>
      <c r="E87" s="6">
        <v>0.625</v>
      </c>
      <c r="F87" t="s">
        <v>28</v>
      </c>
      <c r="G87" t="s">
        <v>43</v>
      </c>
      <c r="H87" t="s">
        <v>22</v>
      </c>
      <c r="I87" s="7">
        <v>1982</v>
      </c>
      <c r="J87" t="s">
        <v>31</v>
      </c>
      <c r="K87">
        <v>2019</v>
      </c>
      <c r="L87">
        <f>B87</f>
        <v>15</v>
      </c>
      <c r="M87">
        <f>_xlfn.XLOOKUP(J87,Capacities!$A$2:$A$17,Capacities!$B$2:$B$17)</f>
        <v>9672</v>
      </c>
      <c r="N87">
        <f>I87/M87</f>
        <v>0.20492142266335814</v>
      </c>
    </row>
    <row r="88" spans="1:14" x14ac:dyDescent="0.35">
      <c r="A88" t="s">
        <v>74</v>
      </c>
      <c r="B88">
        <v>15</v>
      </c>
      <c r="C88" t="s">
        <v>15</v>
      </c>
      <c r="D88" s="5">
        <v>43435</v>
      </c>
      <c r="E88" s="6">
        <v>0.625</v>
      </c>
      <c r="F88" t="s">
        <v>39</v>
      </c>
      <c r="G88" t="s">
        <v>47</v>
      </c>
      <c r="H88" t="s">
        <v>87</v>
      </c>
      <c r="I88" s="7">
        <v>4334</v>
      </c>
      <c r="J88" t="s">
        <v>46</v>
      </c>
      <c r="K88">
        <v>2019</v>
      </c>
      <c r="L88">
        <f>B88</f>
        <v>15</v>
      </c>
      <c r="M88">
        <f>_xlfn.XLOOKUP(J88,Capacities!$A$2:$A$17,Capacities!$B$2:$B$17)</f>
        <v>8006</v>
      </c>
      <c r="N88">
        <f>I88/M88</f>
        <v>0.54134399200599548</v>
      </c>
    </row>
    <row r="89" spans="1:14" x14ac:dyDescent="0.35">
      <c r="A89" t="s">
        <v>74</v>
      </c>
      <c r="B89">
        <v>15</v>
      </c>
      <c r="C89" t="s">
        <v>36</v>
      </c>
      <c r="D89" s="5">
        <v>43436</v>
      </c>
      <c r="E89" s="6">
        <v>0.5</v>
      </c>
      <c r="F89" t="s">
        <v>26</v>
      </c>
      <c r="G89" t="s">
        <v>55</v>
      </c>
      <c r="H89" t="s">
        <v>34</v>
      </c>
      <c r="I89" s="7">
        <v>19429</v>
      </c>
      <c r="J89" t="s">
        <v>50</v>
      </c>
      <c r="K89">
        <v>2019</v>
      </c>
      <c r="L89">
        <f>B89</f>
        <v>15</v>
      </c>
      <c r="M89">
        <f>_xlfn.XLOOKUP(J89,Capacities!$A$2:$A$17,Capacities!$B$2:$B$17)</f>
        <v>19852</v>
      </c>
      <c r="N89">
        <f>I89/M89</f>
        <v>0.97869232319161792</v>
      </c>
    </row>
    <row r="90" spans="1:14" x14ac:dyDescent="0.35">
      <c r="A90" t="s">
        <v>74</v>
      </c>
      <c r="B90">
        <v>15</v>
      </c>
      <c r="C90" t="s">
        <v>58</v>
      </c>
      <c r="D90" s="5">
        <v>43452</v>
      </c>
      <c r="E90" s="6">
        <v>0.82291666666666663</v>
      </c>
      <c r="F90" t="s">
        <v>30</v>
      </c>
      <c r="G90" t="s">
        <v>73</v>
      </c>
      <c r="H90" t="s">
        <v>20</v>
      </c>
      <c r="I90" s="7">
        <v>13142</v>
      </c>
      <c r="J90" t="s">
        <v>48</v>
      </c>
      <c r="K90">
        <v>2019</v>
      </c>
      <c r="L90">
        <f>B90</f>
        <v>15</v>
      </c>
      <c r="M90">
        <f>_xlfn.XLOOKUP(J90,Capacities!$A$2:$A$17,Capacities!$B$2:$B$17)</f>
        <v>21412</v>
      </c>
      <c r="N90">
        <f>I90/M90</f>
        <v>0.61376798057164206</v>
      </c>
    </row>
    <row r="91" spans="1:14" x14ac:dyDescent="0.35">
      <c r="A91" t="s">
        <v>74</v>
      </c>
      <c r="B91">
        <v>15</v>
      </c>
      <c r="C91" t="s">
        <v>60</v>
      </c>
      <c r="D91" s="5">
        <v>43495</v>
      </c>
      <c r="E91" s="6">
        <v>0.82291666666666663</v>
      </c>
      <c r="F91" t="s">
        <v>16</v>
      </c>
      <c r="G91" t="s">
        <v>43</v>
      </c>
      <c r="H91" t="s">
        <v>24</v>
      </c>
      <c r="I91" s="7">
        <v>54563</v>
      </c>
      <c r="J91" t="s">
        <v>19</v>
      </c>
      <c r="K91">
        <v>2019</v>
      </c>
      <c r="L91">
        <f>B91</f>
        <v>15</v>
      </c>
      <c r="M91">
        <f>_xlfn.XLOOKUP(J91,Capacities!$A$2:$A$17,Capacities!$B$2:$B$17)</f>
        <v>60500</v>
      </c>
      <c r="N91">
        <f>I91/M91</f>
        <v>0.90186776859504136</v>
      </c>
    </row>
    <row r="92" spans="1:14" x14ac:dyDescent="0.35">
      <c r="A92" t="s">
        <v>74</v>
      </c>
      <c r="B92">
        <v>16</v>
      </c>
      <c r="C92" t="s">
        <v>60</v>
      </c>
      <c r="D92" s="5">
        <v>43439</v>
      </c>
      <c r="E92" s="6">
        <v>0.82291666666666663</v>
      </c>
      <c r="F92" t="s">
        <v>20</v>
      </c>
      <c r="G92" t="s">
        <v>41</v>
      </c>
      <c r="H92" t="s">
        <v>87</v>
      </c>
      <c r="I92" s="7">
        <v>4426</v>
      </c>
      <c r="J92" t="s">
        <v>23</v>
      </c>
      <c r="K92">
        <v>2019</v>
      </c>
      <c r="L92">
        <f>B92</f>
        <v>16</v>
      </c>
      <c r="M92">
        <f>_xlfn.XLOOKUP(J92,Capacities!$A$2:$A$17,Capacities!$B$2:$B$17)</f>
        <v>11850</v>
      </c>
      <c r="N92">
        <f>I92/M92</f>
        <v>0.37350210970464137</v>
      </c>
    </row>
    <row r="93" spans="1:14" x14ac:dyDescent="0.35">
      <c r="A93" t="s">
        <v>74</v>
      </c>
      <c r="B93">
        <v>16</v>
      </c>
      <c r="C93" t="s">
        <v>60</v>
      </c>
      <c r="D93" s="5">
        <v>43439</v>
      </c>
      <c r="E93" s="6">
        <v>0.82291666666666663</v>
      </c>
      <c r="F93" t="s">
        <v>37</v>
      </c>
      <c r="G93" t="s">
        <v>51</v>
      </c>
      <c r="H93" t="s">
        <v>39</v>
      </c>
      <c r="I93" s="7">
        <v>15096</v>
      </c>
      <c r="J93" t="s">
        <v>40</v>
      </c>
      <c r="K93">
        <v>2019</v>
      </c>
      <c r="L93">
        <f>B93</f>
        <v>16</v>
      </c>
      <c r="M93">
        <f>_xlfn.XLOOKUP(J93,Capacities!$A$2:$A$17,Capacities!$B$2:$B$17)</f>
        <v>20250</v>
      </c>
      <c r="N93">
        <f>I93/M93</f>
        <v>0.74548148148148152</v>
      </c>
    </row>
    <row r="94" spans="1:14" x14ac:dyDescent="0.35">
      <c r="A94" t="s">
        <v>74</v>
      </c>
      <c r="B94">
        <v>16</v>
      </c>
      <c r="C94" t="s">
        <v>60</v>
      </c>
      <c r="D94" s="5">
        <v>43439</v>
      </c>
      <c r="E94" s="6">
        <v>0.82291666666666663</v>
      </c>
      <c r="F94" t="s">
        <v>32</v>
      </c>
      <c r="G94" t="s">
        <v>43</v>
      </c>
      <c r="H94" t="s">
        <v>28</v>
      </c>
      <c r="I94" s="7">
        <v>4143</v>
      </c>
      <c r="J94" t="s">
        <v>86</v>
      </c>
      <c r="K94">
        <v>2019</v>
      </c>
      <c r="L94">
        <f>B94</f>
        <v>16</v>
      </c>
      <c r="M94">
        <f>_xlfn.XLOOKUP(J94,Capacities!$A$2:$A$17,Capacities!$B$2:$B$17)</f>
        <v>15003</v>
      </c>
      <c r="N94">
        <f>I94/M94</f>
        <v>0.27614477104579083</v>
      </c>
    </row>
    <row r="95" spans="1:14" x14ac:dyDescent="0.35">
      <c r="A95" t="s">
        <v>74</v>
      </c>
      <c r="B95">
        <v>16</v>
      </c>
      <c r="C95" t="s">
        <v>60</v>
      </c>
      <c r="D95" s="5">
        <v>43439</v>
      </c>
      <c r="E95" s="6">
        <v>0.82291666666666663</v>
      </c>
      <c r="F95" t="s">
        <v>22</v>
      </c>
      <c r="G95" t="s">
        <v>21</v>
      </c>
      <c r="H95" t="s">
        <v>16</v>
      </c>
      <c r="I95" s="7">
        <v>8433</v>
      </c>
      <c r="J95" t="s">
        <v>49</v>
      </c>
      <c r="K95">
        <v>2019</v>
      </c>
      <c r="L95">
        <f>B95</f>
        <v>16</v>
      </c>
      <c r="M95">
        <f>_xlfn.XLOOKUP(J95,Capacities!$A$2:$A$17,Capacities!$B$2:$B$17)</f>
        <v>13750</v>
      </c>
      <c r="N95">
        <f>I95/M95</f>
        <v>0.61330909090909091</v>
      </c>
    </row>
    <row r="96" spans="1:14" x14ac:dyDescent="0.35">
      <c r="A96" t="s">
        <v>74</v>
      </c>
      <c r="B96">
        <v>16</v>
      </c>
      <c r="C96" t="s">
        <v>60</v>
      </c>
      <c r="D96" s="5">
        <v>43439</v>
      </c>
      <c r="E96" s="6">
        <v>0.82291666666666663</v>
      </c>
      <c r="F96" t="s">
        <v>34</v>
      </c>
      <c r="G96" t="s">
        <v>52</v>
      </c>
      <c r="H96" t="s">
        <v>30</v>
      </c>
      <c r="I96" s="7">
        <v>49711</v>
      </c>
      <c r="J96" t="s">
        <v>42</v>
      </c>
      <c r="K96">
        <v>2019</v>
      </c>
      <c r="L96">
        <f>B96</f>
        <v>16</v>
      </c>
      <c r="M96">
        <f>_xlfn.XLOOKUP(J96,Capacities!$A$2:$A$17,Capacities!$B$2:$B$17)</f>
        <v>51082</v>
      </c>
      <c r="N96">
        <f>I96/M96</f>
        <v>0.97316080028189966</v>
      </c>
    </row>
    <row r="97" spans="1:14" x14ac:dyDescent="0.35">
      <c r="A97" t="s">
        <v>74</v>
      </c>
      <c r="B97">
        <v>16</v>
      </c>
      <c r="C97" t="s">
        <v>60</v>
      </c>
      <c r="D97" s="5">
        <v>43439</v>
      </c>
      <c r="E97" s="6">
        <v>0.82291666666666663</v>
      </c>
      <c r="F97" t="s">
        <v>24</v>
      </c>
      <c r="G97" t="s">
        <v>51</v>
      </c>
      <c r="H97" t="s">
        <v>26</v>
      </c>
      <c r="I97" s="7">
        <v>3040</v>
      </c>
      <c r="J97" t="s">
        <v>27</v>
      </c>
      <c r="K97">
        <v>2019</v>
      </c>
      <c r="L97">
        <f>B97</f>
        <v>16</v>
      </c>
      <c r="M97">
        <f>_xlfn.XLOOKUP(J97,Capacities!$A$2:$A$17,Capacities!$B$2:$B$17)</f>
        <v>10700</v>
      </c>
      <c r="N97">
        <f>I97/M97</f>
        <v>0.2841121495327103</v>
      </c>
    </row>
    <row r="98" spans="1:14" x14ac:dyDescent="0.35">
      <c r="A98" t="s">
        <v>74</v>
      </c>
      <c r="B98">
        <v>17</v>
      </c>
      <c r="C98" t="s">
        <v>15</v>
      </c>
      <c r="D98" s="5">
        <v>43442</v>
      </c>
      <c r="E98" s="6">
        <v>0.625</v>
      </c>
      <c r="F98" t="s">
        <v>30</v>
      </c>
      <c r="G98" t="s">
        <v>25</v>
      </c>
      <c r="H98" t="s">
        <v>24</v>
      </c>
      <c r="I98" s="7">
        <v>13304</v>
      </c>
      <c r="J98" t="s">
        <v>48</v>
      </c>
      <c r="K98">
        <v>2019</v>
      </c>
      <c r="L98">
        <f>B98</f>
        <v>17</v>
      </c>
      <c r="M98">
        <f>_xlfn.XLOOKUP(J98,Capacities!$A$2:$A$17,Capacities!$B$2:$B$17)</f>
        <v>21412</v>
      </c>
      <c r="N98">
        <f>I98/M98</f>
        <v>0.62133383149635724</v>
      </c>
    </row>
    <row r="99" spans="1:14" x14ac:dyDescent="0.35">
      <c r="A99" t="s">
        <v>74</v>
      </c>
      <c r="B99">
        <v>17</v>
      </c>
      <c r="C99" t="s">
        <v>15</v>
      </c>
      <c r="D99" s="5">
        <v>43442</v>
      </c>
      <c r="E99" s="6">
        <v>0.625</v>
      </c>
      <c r="F99" t="s">
        <v>16</v>
      </c>
      <c r="G99" t="s">
        <v>73</v>
      </c>
      <c r="H99" t="s">
        <v>32</v>
      </c>
      <c r="I99" s="7">
        <v>58457</v>
      </c>
      <c r="J99" t="s">
        <v>19</v>
      </c>
      <c r="K99">
        <v>2019</v>
      </c>
      <c r="L99">
        <f>B99</f>
        <v>17</v>
      </c>
      <c r="M99">
        <f>_xlfn.XLOOKUP(J99,Capacities!$A$2:$A$17,Capacities!$B$2:$B$17)</f>
        <v>60500</v>
      </c>
      <c r="N99">
        <f>I99/M99</f>
        <v>0.96623140495867765</v>
      </c>
    </row>
    <row r="100" spans="1:14" x14ac:dyDescent="0.35">
      <c r="A100" t="s">
        <v>74</v>
      </c>
      <c r="B100">
        <v>17</v>
      </c>
      <c r="C100" t="s">
        <v>15</v>
      </c>
      <c r="D100" s="5">
        <v>43442</v>
      </c>
      <c r="E100" s="6">
        <v>0.625</v>
      </c>
      <c r="F100" t="s">
        <v>87</v>
      </c>
      <c r="G100" t="s">
        <v>52</v>
      </c>
      <c r="H100" t="s">
        <v>37</v>
      </c>
      <c r="I100" s="7">
        <v>2169</v>
      </c>
      <c r="J100" t="s">
        <v>88</v>
      </c>
      <c r="K100">
        <v>2019</v>
      </c>
      <c r="L100">
        <f>B100</f>
        <v>17</v>
      </c>
      <c r="M100">
        <f>_xlfn.XLOOKUP(J100,Capacities!$A$2:$A$17,Capacities!$B$2:$B$17)</f>
        <v>6007</v>
      </c>
      <c r="N100">
        <f>I100/M100</f>
        <v>0.361078741468287</v>
      </c>
    </row>
    <row r="101" spans="1:14" x14ac:dyDescent="0.35">
      <c r="A101" t="s">
        <v>74</v>
      </c>
      <c r="B101">
        <v>17</v>
      </c>
      <c r="C101" t="s">
        <v>15</v>
      </c>
      <c r="D101" s="5">
        <v>43442</v>
      </c>
      <c r="E101" s="6">
        <v>0.625</v>
      </c>
      <c r="F101" t="s">
        <v>26</v>
      </c>
      <c r="G101" t="s">
        <v>33</v>
      </c>
      <c r="H101" t="s">
        <v>22</v>
      </c>
      <c r="I101" s="7">
        <v>15915</v>
      </c>
      <c r="J101" t="s">
        <v>50</v>
      </c>
      <c r="K101">
        <v>2019</v>
      </c>
      <c r="L101">
        <f>B101</f>
        <v>17</v>
      </c>
      <c r="M101">
        <f>_xlfn.XLOOKUP(J101,Capacities!$A$2:$A$17,Capacities!$B$2:$B$17)</f>
        <v>19852</v>
      </c>
      <c r="N101">
        <f>I101/M101</f>
        <v>0.80168245013096917</v>
      </c>
    </row>
    <row r="102" spans="1:14" x14ac:dyDescent="0.35">
      <c r="A102" t="s">
        <v>74</v>
      </c>
      <c r="B102">
        <v>17</v>
      </c>
      <c r="C102" t="s">
        <v>15</v>
      </c>
      <c r="D102" s="5">
        <v>43442</v>
      </c>
      <c r="E102" s="6">
        <v>0.625</v>
      </c>
      <c r="F102" t="s">
        <v>28</v>
      </c>
      <c r="G102" t="s">
        <v>56</v>
      </c>
      <c r="H102" t="s">
        <v>39</v>
      </c>
      <c r="I102" s="7">
        <v>1727</v>
      </c>
      <c r="J102" t="s">
        <v>31</v>
      </c>
      <c r="K102">
        <v>2019</v>
      </c>
      <c r="L102">
        <f>B102</f>
        <v>17</v>
      </c>
      <c r="M102">
        <f>_xlfn.XLOOKUP(J102,Capacities!$A$2:$A$17,Capacities!$B$2:$B$17)</f>
        <v>9672</v>
      </c>
      <c r="N102">
        <f>I102/M102</f>
        <v>0.17855665839536808</v>
      </c>
    </row>
    <row r="103" spans="1:14" x14ac:dyDescent="0.35">
      <c r="A103" t="s">
        <v>74</v>
      </c>
      <c r="B103">
        <v>17</v>
      </c>
      <c r="C103" t="s">
        <v>36</v>
      </c>
      <c r="D103" s="5">
        <v>43443</v>
      </c>
      <c r="E103" s="6">
        <v>0.5625</v>
      </c>
      <c r="F103" t="s">
        <v>20</v>
      </c>
      <c r="G103" t="s">
        <v>21</v>
      </c>
      <c r="H103" t="s">
        <v>34</v>
      </c>
      <c r="I103" s="7">
        <v>8578</v>
      </c>
      <c r="J103" t="s">
        <v>23</v>
      </c>
      <c r="K103">
        <v>2019</v>
      </c>
      <c r="L103">
        <f>B103</f>
        <v>17</v>
      </c>
      <c r="M103">
        <f>_xlfn.XLOOKUP(J103,Capacities!$A$2:$A$17,Capacities!$B$2:$B$17)</f>
        <v>11850</v>
      </c>
      <c r="N103">
        <f>I103/M103</f>
        <v>0.72388185654008441</v>
      </c>
    </row>
    <row r="104" spans="1:14" x14ac:dyDescent="0.35">
      <c r="A104" t="s">
        <v>74</v>
      </c>
      <c r="B104">
        <v>18</v>
      </c>
      <c r="C104" t="s">
        <v>79</v>
      </c>
      <c r="D104" s="5">
        <v>43448</v>
      </c>
      <c r="E104" s="6">
        <v>0.82291666666666663</v>
      </c>
      <c r="F104" t="s">
        <v>28</v>
      </c>
      <c r="G104" t="s">
        <v>66</v>
      </c>
      <c r="H104" t="s">
        <v>26</v>
      </c>
      <c r="I104" s="7">
        <v>4201</v>
      </c>
      <c r="J104" t="s">
        <v>31</v>
      </c>
      <c r="K104">
        <v>2019</v>
      </c>
      <c r="L104">
        <f>B104</f>
        <v>18</v>
      </c>
      <c r="M104">
        <f>_xlfn.XLOOKUP(J104,Capacities!$A$2:$A$17,Capacities!$B$2:$B$17)</f>
        <v>9672</v>
      </c>
      <c r="N104">
        <f>I104/M104</f>
        <v>0.43434656741108352</v>
      </c>
    </row>
    <row r="105" spans="1:14" x14ac:dyDescent="0.35">
      <c r="A105" t="s">
        <v>74</v>
      </c>
      <c r="B105">
        <v>18</v>
      </c>
      <c r="C105" t="s">
        <v>15</v>
      </c>
      <c r="D105" s="5">
        <v>43449</v>
      </c>
      <c r="E105" s="6">
        <v>0.625</v>
      </c>
      <c r="F105" t="s">
        <v>32</v>
      </c>
      <c r="G105" t="s">
        <v>56</v>
      </c>
      <c r="H105" t="s">
        <v>20</v>
      </c>
      <c r="I105" s="7">
        <v>4668</v>
      </c>
      <c r="J105" t="s">
        <v>86</v>
      </c>
      <c r="K105">
        <v>2019</v>
      </c>
      <c r="L105">
        <f>B105</f>
        <v>18</v>
      </c>
      <c r="M105">
        <f>_xlfn.XLOOKUP(J105,Capacities!$A$2:$A$17,Capacities!$B$2:$B$17)</f>
        <v>15003</v>
      </c>
      <c r="N105">
        <f>I105/M105</f>
        <v>0.31113777244551089</v>
      </c>
    </row>
    <row r="106" spans="1:14" x14ac:dyDescent="0.35">
      <c r="A106" t="s">
        <v>74</v>
      </c>
      <c r="B106">
        <v>18</v>
      </c>
      <c r="C106" t="s">
        <v>15</v>
      </c>
      <c r="D106" s="5">
        <v>43449</v>
      </c>
      <c r="E106" s="6">
        <v>0.625</v>
      </c>
      <c r="F106" t="s">
        <v>24</v>
      </c>
      <c r="G106" t="s">
        <v>55</v>
      </c>
      <c r="H106" t="s">
        <v>22</v>
      </c>
      <c r="I106" s="7">
        <v>2302</v>
      </c>
      <c r="J106" t="s">
        <v>27</v>
      </c>
      <c r="K106">
        <v>2019</v>
      </c>
      <c r="L106">
        <f>B106</f>
        <v>18</v>
      </c>
      <c r="M106">
        <f>_xlfn.XLOOKUP(J106,Capacities!$A$2:$A$17,Capacities!$B$2:$B$17)</f>
        <v>10700</v>
      </c>
      <c r="N106">
        <f>I106/M106</f>
        <v>0.21514018691588785</v>
      </c>
    </row>
    <row r="107" spans="1:14" x14ac:dyDescent="0.35">
      <c r="A107" t="s">
        <v>74</v>
      </c>
      <c r="B107">
        <v>18</v>
      </c>
      <c r="C107" t="s">
        <v>15</v>
      </c>
      <c r="D107" s="5">
        <v>43449</v>
      </c>
      <c r="E107" s="6">
        <v>0.625</v>
      </c>
      <c r="F107" t="s">
        <v>39</v>
      </c>
      <c r="G107" t="s">
        <v>55</v>
      </c>
      <c r="H107" t="s">
        <v>30</v>
      </c>
      <c r="I107" s="7">
        <v>4699</v>
      </c>
      <c r="J107" t="s">
        <v>46</v>
      </c>
      <c r="K107">
        <v>2019</v>
      </c>
      <c r="L107">
        <f>B107</f>
        <v>18</v>
      </c>
      <c r="M107">
        <f>_xlfn.XLOOKUP(J107,Capacities!$A$2:$A$17,Capacities!$B$2:$B$17)</f>
        <v>8006</v>
      </c>
      <c r="N107">
        <f>I107/M107</f>
        <v>0.58693479890082434</v>
      </c>
    </row>
    <row r="108" spans="1:14" x14ac:dyDescent="0.35">
      <c r="A108" t="s">
        <v>74</v>
      </c>
      <c r="B108">
        <v>18</v>
      </c>
      <c r="C108" t="s">
        <v>36</v>
      </c>
      <c r="D108" s="5">
        <v>43450</v>
      </c>
      <c r="E108" s="6">
        <v>0.52083333333333337</v>
      </c>
      <c r="F108" t="s">
        <v>37</v>
      </c>
      <c r="G108" t="s">
        <v>43</v>
      </c>
      <c r="H108" t="s">
        <v>16</v>
      </c>
      <c r="I108" s="7">
        <v>18142</v>
      </c>
      <c r="J108" t="s">
        <v>40</v>
      </c>
      <c r="K108">
        <v>2019</v>
      </c>
      <c r="L108">
        <f>B108</f>
        <v>18</v>
      </c>
      <c r="M108">
        <f>_xlfn.XLOOKUP(J108,Capacities!$A$2:$A$17,Capacities!$B$2:$B$17)</f>
        <v>20250</v>
      </c>
      <c r="N108">
        <f>I108/M108</f>
        <v>0.89590123456790127</v>
      </c>
    </row>
    <row r="109" spans="1:14" x14ac:dyDescent="0.35">
      <c r="A109" t="s">
        <v>74</v>
      </c>
      <c r="B109">
        <v>18</v>
      </c>
      <c r="C109" t="s">
        <v>36</v>
      </c>
      <c r="D109" s="5">
        <v>43450</v>
      </c>
      <c r="E109" s="6">
        <v>0.625</v>
      </c>
      <c r="F109" t="s">
        <v>34</v>
      </c>
      <c r="G109" t="s">
        <v>33</v>
      </c>
      <c r="H109" t="s">
        <v>87</v>
      </c>
      <c r="I109" s="7">
        <v>49055</v>
      </c>
      <c r="J109" t="s">
        <v>42</v>
      </c>
      <c r="K109">
        <v>2019</v>
      </c>
      <c r="L109">
        <f>B109</f>
        <v>18</v>
      </c>
      <c r="M109">
        <f>_xlfn.XLOOKUP(J109,Capacities!$A$2:$A$17,Capacities!$B$2:$B$17)</f>
        <v>51082</v>
      </c>
      <c r="N109">
        <f>I109/M109</f>
        <v>0.96031870326142277</v>
      </c>
    </row>
    <row r="110" spans="1:14" x14ac:dyDescent="0.35">
      <c r="A110" t="s">
        <v>74</v>
      </c>
      <c r="B110">
        <v>19</v>
      </c>
      <c r="C110" t="s">
        <v>15</v>
      </c>
      <c r="D110" s="5">
        <v>43456</v>
      </c>
      <c r="E110" s="6">
        <v>0.625</v>
      </c>
      <c r="F110" t="s">
        <v>30</v>
      </c>
      <c r="G110" t="s">
        <v>43</v>
      </c>
      <c r="H110" t="s">
        <v>26</v>
      </c>
      <c r="I110" s="7">
        <v>16451</v>
      </c>
      <c r="J110" t="s">
        <v>48</v>
      </c>
      <c r="K110">
        <v>2019</v>
      </c>
      <c r="L110">
        <f>B110</f>
        <v>19</v>
      </c>
      <c r="M110">
        <f>_xlfn.XLOOKUP(J110,Capacities!$A$2:$A$17,Capacities!$B$2:$B$17)</f>
        <v>21412</v>
      </c>
      <c r="N110">
        <f>I110/M110</f>
        <v>0.76830749112647112</v>
      </c>
    </row>
    <row r="111" spans="1:14" x14ac:dyDescent="0.35">
      <c r="A111" t="s">
        <v>74</v>
      </c>
      <c r="B111">
        <v>19</v>
      </c>
      <c r="C111" t="s">
        <v>15</v>
      </c>
      <c r="D111" s="5">
        <v>43456</v>
      </c>
      <c r="E111" s="6">
        <v>0.625</v>
      </c>
      <c r="F111" t="s">
        <v>16</v>
      </c>
      <c r="G111" t="s">
        <v>53</v>
      </c>
      <c r="H111" t="s">
        <v>20</v>
      </c>
      <c r="I111" s="7">
        <v>57234</v>
      </c>
      <c r="J111" t="s">
        <v>19</v>
      </c>
      <c r="K111">
        <v>2019</v>
      </c>
      <c r="L111">
        <f>B111</f>
        <v>19</v>
      </c>
      <c r="M111">
        <f>_xlfn.XLOOKUP(J111,Capacities!$A$2:$A$17,Capacities!$B$2:$B$17)</f>
        <v>60500</v>
      </c>
      <c r="N111">
        <f>I111/M111</f>
        <v>0.94601652892561983</v>
      </c>
    </row>
    <row r="112" spans="1:14" x14ac:dyDescent="0.35">
      <c r="A112" t="s">
        <v>74</v>
      </c>
      <c r="B112">
        <v>19</v>
      </c>
      <c r="C112" t="s">
        <v>15</v>
      </c>
      <c r="D112" s="5">
        <v>43456</v>
      </c>
      <c r="E112" s="6">
        <v>0.625</v>
      </c>
      <c r="F112" t="s">
        <v>87</v>
      </c>
      <c r="G112" t="s">
        <v>21</v>
      </c>
      <c r="H112" t="s">
        <v>32</v>
      </c>
      <c r="I112" s="7">
        <v>3401</v>
      </c>
      <c r="J112" t="s">
        <v>88</v>
      </c>
      <c r="K112">
        <v>2019</v>
      </c>
      <c r="L112">
        <f>B112</f>
        <v>19</v>
      </c>
      <c r="M112">
        <f>_xlfn.XLOOKUP(J112,Capacities!$A$2:$A$17,Capacities!$B$2:$B$17)</f>
        <v>6007</v>
      </c>
      <c r="N112">
        <f>I112/M112</f>
        <v>0.56617279840186452</v>
      </c>
    </row>
    <row r="113" spans="1:14" x14ac:dyDescent="0.35">
      <c r="A113" t="s">
        <v>74</v>
      </c>
      <c r="B113">
        <v>19</v>
      </c>
      <c r="C113" t="s">
        <v>15</v>
      </c>
      <c r="D113" s="5">
        <v>43456</v>
      </c>
      <c r="E113" s="6">
        <v>0.625</v>
      </c>
      <c r="F113" t="s">
        <v>37</v>
      </c>
      <c r="G113" t="s">
        <v>21</v>
      </c>
      <c r="H113" t="s">
        <v>28</v>
      </c>
      <c r="I113" s="7">
        <v>17056</v>
      </c>
      <c r="J113" t="s">
        <v>40</v>
      </c>
      <c r="K113">
        <v>2019</v>
      </c>
      <c r="L113">
        <f>B113</f>
        <v>19</v>
      </c>
      <c r="M113">
        <f>_xlfn.XLOOKUP(J113,Capacities!$A$2:$A$17,Capacities!$B$2:$B$17)</f>
        <v>20250</v>
      </c>
      <c r="N113">
        <f>I113/M113</f>
        <v>0.84227160493827158</v>
      </c>
    </row>
    <row r="114" spans="1:14" x14ac:dyDescent="0.35">
      <c r="A114" t="s">
        <v>74</v>
      </c>
      <c r="B114">
        <v>19</v>
      </c>
      <c r="C114" t="s">
        <v>15</v>
      </c>
      <c r="D114" s="5">
        <v>43456</v>
      </c>
      <c r="E114" s="6">
        <v>0.625</v>
      </c>
      <c r="F114" t="s">
        <v>22</v>
      </c>
      <c r="G114" t="s">
        <v>52</v>
      </c>
      <c r="H114" t="s">
        <v>39</v>
      </c>
      <c r="I114" s="7">
        <v>4540</v>
      </c>
      <c r="J114" t="s">
        <v>49</v>
      </c>
      <c r="K114">
        <v>2019</v>
      </c>
      <c r="L114">
        <f>B114</f>
        <v>19</v>
      </c>
      <c r="M114">
        <f>_xlfn.XLOOKUP(J114,Capacities!$A$2:$A$17,Capacities!$B$2:$B$17)</f>
        <v>13750</v>
      </c>
      <c r="N114">
        <f>I114/M114</f>
        <v>0.33018181818181819</v>
      </c>
    </row>
    <row r="115" spans="1:14" x14ac:dyDescent="0.35">
      <c r="A115" t="s">
        <v>74</v>
      </c>
      <c r="B115">
        <v>19</v>
      </c>
      <c r="C115" t="s">
        <v>36</v>
      </c>
      <c r="D115" s="5">
        <v>43457</v>
      </c>
      <c r="E115" s="6">
        <v>0.51041666666666663</v>
      </c>
      <c r="F115" t="s">
        <v>24</v>
      </c>
      <c r="G115" t="s">
        <v>55</v>
      </c>
      <c r="H115" t="s">
        <v>34</v>
      </c>
      <c r="I115" s="7">
        <v>7086</v>
      </c>
      <c r="J115" t="s">
        <v>27</v>
      </c>
      <c r="K115">
        <v>2019</v>
      </c>
      <c r="L115">
        <f>B115</f>
        <v>19</v>
      </c>
      <c r="M115">
        <f>_xlfn.XLOOKUP(J115,Capacities!$A$2:$A$17,Capacities!$B$2:$B$17)</f>
        <v>10700</v>
      </c>
      <c r="N115">
        <f>I115/M115</f>
        <v>0.66224299065420555</v>
      </c>
    </row>
    <row r="116" spans="1:14" x14ac:dyDescent="0.35">
      <c r="A116" t="s">
        <v>74</v>
      </c>
      <c r="B116">
        <v>20</v>
      </c>
      <c r="C116" t="s">
        <v>60</v>
      </c>
      <c r="D116" s="5">
        <v>43460</v>
      </c>
      <c r="E116" s="6">
        <v>0.58333333333333337</v>
      </c>
      <c r="F116" t="s">
        <v>30</v>
      </c>
      <c r="G116" t="s">
        <v>80</v>
      </c>
      <c r="H116" t="s">
        <v>16</v>
      </c>
      <c r="I116" s="7">
        <v>20027</v>
      </c>
      <c r="J116" t="s">
        <v>48</v>
      </c>
      <c r="K116">
        <v>2019</v>
      </c>
      <c r="L116">
        <f>B116</f>
        <v>20</v>
      </c>
      <c r="M116">
        <f>_xlfn.XLOOKUP(J116,Capacities!$A$2:$A$17,Capacities!$B$2:$B$17)</f>
        <v>21412</v>
      </c>
      <c r="N116">
        <f>I116/M116</f>
        <v>0.93531664487203436</v>
      </c>
    </row>
    <row r="117" spans="1:14" x14ac:dyDescent="0.35">
      <c r="A117" t="s">
        <v>74</v>
      </c>
      <c r="B117">
        <v>20</v>
      </c>
      <c r="C117" t="s">
        <v>60</v>
      </c>
      <c r="D117" s="5">
        <v>43460</v>
      </c>
      <c r="E117" s="6">
        <v>0.58333333333333337</v>
      </c>
      <c r="F117" t="s">
        <v>39</v>
      </c>
      <c r="G117" t="s">
        <v>52</v>
      </c>
      <c r="H117" t="s">
        <v>24</v>
      </c>
      <c r="I117" s="7">
        <v>4891</v>
      </c>
      <c r="J117" t="s">
        <v>46</v>
      </c>
      <c r="K117">
        <v>2019</v>
      </c>
      <c r="L117">
        <f>B117</f>
        <v>20</v>
      </c>
      <c r="M117">
        <f>_xlfn.XLOOKUP(J117,Capacities!$A$2:$A$17,Capacities!$B$2:$B$17)</f>
        <v>8006</v>
      </c>
      <c r="N117">
        <f>I117/M117</f>
        <v>0.61091681239070694</v>
      </c>
    </row>
    <row r="118" spans="1:14" x14ac:dyDescent="0.35">
      <c r="A118" t="s">
        <v>74</v>
      </c>
      <c r="B118">
        <v>20</v>
      </c>
      <c r="C118" t="s">
        <v>60</v>
      </c>
      <c r="D118" s="5">
        <v>43460</v>
      </c>
      <c r="E118" s="6">
        <v>0.625</v>
      </c>
      <c r="F118" t="s">
        <v>20</v>
      </c>
      <c r="G118" t="s">
        <v>29</v>
      </c>
      <c r="H118" t="s">
        <v>28</v>
      </c>
      <c r="I118" s="7">
        <v>4905</v>
      </c>
      <c r="J118" t="s">
        <v>23</v>
      </c>
      <c r="K118">
        <v>2019</v>
      </c>
      <c r="L118">
        <f>B118</f>
        <v>20</v>
      </c>
      <c r="M118">
        <f>_xlfn.XLOOKUP(J118,Capacities!$A$2:$A$17,Capacities!$B$2:$B$17)</f>
        <v>11850</v>
      </c>
      <c r="N118">
        <f>I118/M118</f>
        <v>0.41392405063291138</v>
      </c>
    </row>
    <row r="119" spans="1:14" x14ac:dyDescent="0.35">
      <c r="A119" t="s">
        <v>74</v>
      </c>
      <c r="B119">
        <v>20</v>
      </c>
      <c r="C119" t="s">
        <v>60</v>
      </c>
      <c r="D119" s="5">
        <v>43460</v>
      </c>
      <c r="E119" s="6">
        <v>0.625</v>
      </c>
      <c r="F119" t="s">
        <v>26</v>
      </c>
      <c r="G119" t="s">
        <v>43</v>
      </c>
      <c r="H119" t="s">
        <v>87</v>
      </c>
      <c r="I119" s="7">
        <v>16475</v>
      </c>
      <c r="J119" t="s">
        <v>50</v>
      </c>
      <c r="K119">
        <v>2019</v>
      </c>
      <c r="L119">
        <f>B119</f>
        <v>20</v>
      </c>
      <c r="M119">
        <f>_xlfn.XLOOKUP(J119,Capacities!$A$2:$A$17,Capacities!$B$2:$B$17)</f>
        <v>19852</v>
      </c>
      <c r="N119">
        <f>I119/M119</f>
        <v>0.82989119484182949</v>
      </c>
    </row>
    <row r="120" spans="1:14" x14ac:dyDescent="0.35">
      <c r="A120" t="s">
        <v>74</v>
      </c>
      <c r="B120">
        <v>20</v>
      </c>
      <c r="C120" t="s">
        <v>60</v>
      </c>
      <c r="D120" s="5">
        <v>43460</v>
      </c>
      <c r="E120" s="6">
        <v>0.625</v>
      </c>
      <c r="F120" t="s">
        <v>22</v>
      </c>
      <c r="G120" t="s">
        <v>52</v>
      </c>
      <c r="H120" t="s">
        <v>32</v>
      </c>
      <c r="I120" s="7">
        <v>5426</v>
      </c>
      <c r="J120" t="s">
        <v>49</v>
      </c>
      <c r="K120">
        <v>2019</v>
      </c>
      <c r="L120">
        <f>B120</f>
        <v>20</v>
      </c>
      <c r="M120">
        <f>_xlfn.XLOOKUP(J120,Capacities!$A$2:$A$17,Capacities!$B$2:$B$17)</f>
        <v>13750</v>
      </c>
      <c r="N120">
        <f>I120/M120</f>
        <v>0.39461818181818181</v>
      </c>
    </row>
    <row r="121" spans="1:14" x14ac:dyDescent="0.35">
      <c r="A121" t="s">
        <v>74</v>
      </c>
      <c r="B121">
        <v>20</v>
      </c>
      <c r="C121" t="s">
        <v>60</v>
      </c>
      <c r="D121" s="5">
        <v>43460</v>
      </c>
      <c r="E121" s="6">
        <v>0.625</v>
      </c>
      <c r="F121" t="s">
        <v>34</v>
      </c>
      <c r="G121" t="s">
        <v>21</v>
      </c>
      <c r="H121" t="s">
        <v>37</v>
      </c>
      <c r="I121" s="7">
        <v>49885</v>
      </c>
      <c r="J121" t="s">
        <v>42</v>
      </c>
      <c r="K121">
        <v>2019</v>
      </c>
      <c r="L121">
        <f>B121</f>
        <v>20</v>
      </c>
      <c r="M121">
        <f>_xlfn.XLOOKUP(J121,Capacities!$A$2:$A$17,Capacities!$B$2:$B$17)</f>
        <v>51082</v>
      </c>
      <c r="N121">
        <f>I121/M121</f>
        <v>0.9765670882111116</v>
      </c>
    </row>
    <row r="122" spans="1:14" x14ac:dyDescent="0.35">
      <c r="A122" t="s">
        <v>74</v>
      </c>
      <c r="B122">
        <v>21</v>
      </c>
      <c r="C122" t="s">
        <v>15</v>
      </c>
      <c r="D122" s="5">
        <v>43463</v>
      </c>
      <c r="E122" s="6">
        <v>0.52083333333333337</v>
      </c>
      <c r="F122" t="s">
        <v>34</v>
      </c>
      <c r="G122" t="s">
        <v>33</v>
      </c>
      <c r="H122" t="s">
        <v>16</v>
      </c>
      <c r="I122" s="7">
        <v>49863</v>
      </c>
      <c r="J122" t="s">
        <v>42</v>
      </c>
      <c r="K122">
        <v>2019</v>
      </c>
      <c r="L122">
        <f>B122</f>
        <v>21</v>
      </c>
      <c r="M122">
        <f>_xlfn.XLOOKUP(J122,Capacities!$A$2:$A$17,Capacities!$B$2:$B$17)</f>
        <v>51082</v>
      </c>
      <c r="N122">
        <f>I122/M122</f>
        <v>0.97613640812810776</v>
      </c>
    </row>
    <row r="123" spans="1:14" x14ac:dyDescent="0.35">
      <c r="A123" t="s">
        <v>74</v>
      </c>
      <c r="B123">
        <v>21</v>
      </c>
      <c r="C123" t="s">
        <v>15</v>
      </c>
      <c r="D123" s="5">
        <v>43463</v>
      </c>
      <c r="E123" s="6">
        <v>0.625</v>
      </c>
      <c r="F123" t="s">
        <v>20</v>
      </c>
      <c r="G123" t="s">
        <v>25</v>
      </c>
      <c r="H123" t="s">
        <v>24</v>
      </c>
      <c r="I123" s="7">
        <v>6868</v>
      </c>
      <c r="J123" t="s">
        <v>23</v>
      </c>
      <c r="K123">
        <v>2019</v>
      </c>
      <c r="L123">
        <f>B123</f>
        <v>21</v>
      </c>
      <c r="M123">
        <f>_xlfn.XLOOKUP(J123,Capacities!$A$2:$A$17,Capacities!$B$2:$B$17)</f>
        <v>11850</v>
      </c>
      <c r="N123">
        <f>I123/M123</f>
        <v>0.57957805907172999</v>
      </c>
    </row>
    <row r="124" spans="1:14" x14ac:dyDescent="0.35">
      <c r="A124" t="s">
        <v>74</v>
      </c>
      <c r="B124">
        <v>21</v>
      </c>
      <c r="C124" t="s">
        <v>15</v>
      </c>
      <c r="D124" s="5">
        <v>43463</v>
      </c>
      <c r="E124" s="6">
        <v>0.625</v>
      </c>
      <c r="F124" t="s">
        <v>87</v>
      </c>
      <c r="G124" t="s">
        <v>55</v>
      </c>
      <c r="H124" t="s">
        <v>22</v>
      </c>
      <c r="I124" s="7">
        <v>3843</v>
      </c>
      <c r="J124" t="s">
        <v>88</v>
      </c>
      <c r="K124">
        <v>2019</v>
      </c>
      <c r="L124">
        <f>B124</f>
        <v>21</v>
      </c>
      <c r="M124">
        <f>_xlfn.XLOOKUP(J124,Capacities!$A$2:$A$17,Capacities!$B$2:$B$17)</f>
        <v>6007</v>
      </c>
      <c r="N124">
        <f>I124/M124</f>
        <v>0.63975362077576159</v>
      </c>
    </row>
    <row r="125" spans="1:14" x14ac:dyDescent="0.35">
      <c r="A125" t="s">
        <v>74</v>
      </c>
      <c r="B125">
        <v>21</v>
      </c>
      <c r="C125" t="s">
        <v>15</v>
      </c>
      <c r="D125" s="5">
        <v>43463</v>
      </c>
      <c r="E125" s="6">
        <v>0.625</v>
      </c>
      <c r="F125" t="s">
        <v>32</v>
      </c>
      <c r="G125" t="s">
        <v>45</v>
      </c>
      <c r="H125" t="s">
        <v>39</v>
      </c>
      <c r="I125" s="7">
        <v>7131</v>
      </c>
      <c r="J125" t="s">
        <v>86</v>
      </c>
      <c r="K125">
        <v>2019</v>
      </c>
      <c r="L125">
        <f>B125</f>
        <v>21</v>
      </c>
      <c r="M125">
        <f>_xlfn.XLOOKUP(J125,Capacities!$A$2:$A$17,Capacities!$B$2:$B$17)</f>
        <v>15003</v>
      </c>
      <c r="N125">
        <f>I125/M125</f>
        <v>0.47530493901219756</v>
      </c>
    </row>
    <row r="126" spans="1:14" x14ac:dyDescent="0.35">
      <c r="A126" t="s">
        <v>74</v>
      </c>
      <c r="B126">
        <v>21</v>
      </c>
      <c r="C126" t="s">
        <v>15</v>
      </c>
      <c r="D126" s="5">
        <v>43463</v>
      </c>
      <c r="E126" s="6">
        <v>0.625</v>
      </c>
      <c r="F126" t="s">
        <v>28</v>
      </c>
      <c r="G126" t="s">
        <v>55</v>
      </c>
      <c r="H126" t="s">
        <v>30</v>
      </c>
      <c r="I126" s="7">
        <v>5548</v>
      </c>
      <c r="J126" t="s">
        <v>31</v>
      </c>
      <c r="K126">
        <v>2019</v>
      </c>
      <c r="L126">
        <f>B126</f>
        <v>21</v>
      </c>
      <c r="M126">
        <f>_xlfn.XLOOKUP(J126,Capacities!$A$2:$A$17,Capacities!$B$2:$B$17)</f>
        <v>9672</v>
      </c>
      <c r="N126">
        <f>I126/M126</f>
        <v>0.57361455748552526</v>
      </c>
    </row>
    <row r="127" spans="1:14" x14ac:dyDescent="0.35">
      <c r="A127" t="s">
        <v>74</v>
      </c>
      <c r="B127">
        <v>21</v>
      </c>
      <c r="C127" t="s">
        <v>15</v>
      </c>
      <c r="D127" s="5">
        <v>43463</v>
      </c>
      <c r="E127" s="6">
        <v>0.72916666666666663</v>
      </c>
      <c r="F127" t="s">
        <v>37</v>
      </c>
      <c r="G127" t="s">
        <v>52</v>
      </c>
      <c r="H127" t="s">
        <v>26</v>
      </c>
      <c r="I127" s="7">
        <v>20200</v>
      </c>
      <c r="J127" t="s">
        <v>40</v>
      </c>
      <c r="K127">
        <v>2019</v>
      </c>
      <c r="L127">
        <f>B127</f>
        <v>21</v>
      </c>
      <c r="M127">
        <f>_xlfn.XLOOKUP(J127,Capacities!$A$2:$A$17,Capacities!$B$2:$B$17)</f>
        <v>20250</v>
      </c>
      <c r="N127">
        <f>I127/M127</f>
        <v>0.9975308641975309</v>
      </c>
    </row>
    <row r="128" spans="1:14" x14ac:dyDescent="0.35">
      <c r="A128" t="s">
        <v>74</v>
      </c>
      <c r="B128">
        <v>22</v>
      </c>
      <c r="C128" t="s">
        <v>60</v>
      </c>
      <c r="D128" s="5">
        <v>43488</v>
      </c>
      <c r="E128" s="6">
        <v>0.82291666666666663</v>
      </c>
      <c r="F128" t="s">
        <v>16</v>
      </c>
      <c r="G128" t="s">
        <v>41</v>
      </c>
      <c r="H128" t="s">
        <v>39</v>
      </c>
      <c r="I128" s="7">
        <v>54821</v>
      </c>
      <c r="J128" t="s">
        <v>19</v>
      </c>
      <c r="K128">
        <v>2019</v>
      </c>
      <c r="L128">
        <f>B128</f>
        <v>22</v>
      </c>
      <c r="M128">
        <f>_xlfn.XLOOKUP(J128,Capacities!$A$2:$A$17,Capacities!$B$2:$B$17)</f>
        <v>60500</v>
      </c>
      <c r="N128">
        <f>I128/M128</f>
        <v>0.90613223140495869</v>
      </c>
    </row>
    <row r="129" spans="1:14" x14ac:dyDescent="0.35">
      <c r="A129" t="s">
        <v>74</v>
      </c>
      <c r="B129">
        <v>22</v>
      </c>
      <c r="C129" t="s">
        <v>60</v>
      </c>
      <c r="D129" s="5">
        <v>43488</v>
      </c>
      <c r="E129" s="6">
        <v>0.82291666666666663</v>
      </c>
      <c r="F129" t="s">
        <v>87</v>
      </c>
      <c r="G129" t="s">
        <v>54</v>
      </c>
      <c r="H129" t="s">
        <v>30</v>
      </c>
      <c r="I129" s="7">
        <v>2104</v>
      </c>
      <c r="J129" t="s">
        <v>88</v>
      </c>
      <c r="K129">
        <v>2019</v>
      </c>
      <c r="L129">
        <f>B129</f>
        <v>22</v>
      </c>
      <c r="M129">
        <f>_xlfn.XLOOKUP(J129,Capacities!$A$2:$A$17,Capacities!$B$2:$B$17)</f>
        <v>6007</v>
      </c>
      <c r="N129">
        <f>I129/M129</f>
        <v>0.35025803229565505</v>
      </c>
    </row>
    <row r="130" spans="1:14" x14ac:dyDescent="0.35">
      <c r="A130" t="s">
        <v>74</v>
      </c>
      <c r="B130">
        <v>22</v>
      </c>
      <c r="C130" t="s">
        <v>60</v>
      </c>
      <c r="D130" s="5">
        <v>43488</v>
      </c>
      <c r="E130" s="6">
        <v>0.82291666666666663</v>
      </c>
      <c r="F130" t="s">
        <v>26</v>
      </c>
      <c r="G130" t="s">
        <v>55</v>
      </c>
      <c r="H130" t="s">
        <v>20</v>
      </c>
      <c r="I130" s="7">
        <v>15518</v>
      </c>
      <c r="J130" t="s">
        <v>50</v>
      </c>
      <c r="K130">
        <v>2019</v>
      </c>
      <c r="L130">
        <f>B130</f>
        <v>22</v>
      </c>
      <c r="M130">
        <f>_xlfn.XLOOKUP(J130,Capacities!$A$2:$A$17,Capacities!$B$2:$B$17)</f>
        <v>19852</v>
      </c>
      <c r="N130">
        <f>I130/M130</f>
        <v>0.78168446504130562</v>
      </c>
    </row>
    <row r="131" spans="1:14" x14ac:dyDescent="0.35">
      <c r="A131" t="s">
        <v>74</v>
      </c>
      <c r="B131">
        <v>22</v>
      </c>
      <c r="C131" t="s">
        <v>60</v>
      </c>
      <c r="D131" s="5">
        <v>43488</v>
      </c>
      <c r="E131" s="6">
        <v>0.82291666666666663</v>
      </c>
      <c r="F131" t="s">
        <v>32</v>
      </c>
      <c r="G131" t="s">
        <v>45</v>
      </c>
      <c r="H131" t="s">
        <v>34</v>
      </c>
      <c r="I131" s="7">
        <v>12374</v>
      </c>
      <c r="J131" t="s">
        <v>86</v>
      </c>
      <c r="K131">
        <v>2019</v>
      </c>
      <c r="L131">
        <f>B131</f>
        <v>22</v>
      </c>
      <c r="M131">
        <f>_xlfn.XLOOKUP(J131,Capacities!$A$2:$A$17,Capacities!$B$2:$B$17)</f>
        <v>15003</v>
      </c>
      <c r="N131">
        <f>I131/M131</f>
        <v>0.82476837965740191</v>
      </c>
    </row>
    <row r="132" spans="1:14" x14ac:dyDescent="0.35">
      <c r="A132" t="s">
        <v>74</v>
      </c>
      <c r="B132">
        <v>22</v>
      </c>
      <c r="C132" t="s">
        <v>60</v>
      </c>
      <c r="D132" s="5">
        <v>43488</v>
      </c>
      <c r="E132" s="6">
        <v>0.82291666666666663</v>
      </c>
      <c r="F132" t="s">
        <v>22</v>
      </c>
      <c r="G132" t="s">
        <v>33</v>
      </c>
      <c r="H132" t="s">
        <v>37</v>
      </c>
      <c r="I132" s="7">
        <v>4090</v>
      </c>
      <c r="J132" t="s">
        <v>49</v>
      </c>
      <c r="K132">
        <v>2019</v>
      </c>
      <c r="L132">
        <f>B132</f>
        <v>22</v>
      </c>
      <c r="M132">
        <f>_xlfn.XLOOKUP(J132,Capacities!$A$2:$A$17,Capacities!$B$2:$B$17)</f>
        <v>13750</v>
      </c>
      <c r="N132">
        <f>I132/M132</f>
        <v>0.29745454545454547</v>
      </c>
    </row>
    <row r="133" spans="1:14" x14ac:dyDescent="0.35">
      <c r="A133" t="s">
        <v>74</v>
      </c>
      <c r="B133">
        <v>22</v>
      </c>
      <c r="C133" t="s">
        <v>60</v>
      </c>
      <c r="D133" s="5">
        <v>43488</v>
      </c>
      <c r="E133" s="6">
        <v>0.82291666666666663</v>
      </c>
      <c r="F133" t="s">
        <v>24</v>
      </c>
      <c r="G133" t="s">
        <v>33</v>
      </c>
      <c r="H133" t="s">
        <v>28</v>
      </c>
      <c r="I133" s="7">
        <v>1946</v>
      </c>
      <c r="J133" t="s">
        <v>27</v>
      </c>
      <c r="K133">
        <v>2019</v>
      </c>
      <c r="L133">
        <f>B133</f>
        <v>22</v>
      </c>
      <c r="M133">
        <f>_xlfn.XLOOKUP(J133,Capacities!$A$2:$A$17,Capacities!$B$2:$B$17)</f>
        <v>10700</v>
      </c>
      <c r="N133">
        <f>I133/M133</f>
        <v>0.18186915887850466</v>
      </c>
    </row>
    <row r="134" spans="1:14" x14ac:dyDescent="0.35">
      <c r="A134" t="s">
        <v>74</v>
      </c>
      <c r="B134">
        <v>23</v>
      </c>
      <c r="C134" t="s">
        <v>15</v>
      </c>
      <c r="D134" s="5">
        <v>43491</v>
      </c>
      <c r="E134" s="6">
        <v>0.625</v>
      </c>
      <c r="F134" t="s">
        <v>30</v>
      </c>
      <c r="G134" t="s">
        <v>29</v>
      </c>
      <c r="H134" t="s">
        <v>32</v>
      </c>
      <c r="I134" s="7">
        <v>15560</v>
      </c>
      <c r="J134" t="s">
        <v>48</v>
      </c>
      <c r="K134">
        <v>2019</v>
      </c>
      <c r="L134">
        <f>B134</f>
        <v>23</v>
      </c>
      <c r="M134">
        <f>_xlfn.XLOOKUP(J134,Capacities!$A$2:$A$17,Capacities!$B$2:$B$17)</f>
        <v>21412</v>
      </c>
      <c r="N134">
        <f>I134/M134</f>
        <v>0.72669531104053797</v>
      </c>
    </row>
    <row r="135" spans="1:14" x14ac:dyDescent="0.35">
      <c r="A135" t="s">
        <v>74</v>
      </c>
      <c r="B135">
        <v>23</v>
      </c>
      <c r="C135" t="s">
        <v>15</v>
      </c>
      <c r="D135" s="5">
        <v>43491</v>
      </c>
      <c r="E135" s="6">
        <v>0.625</v>
      </c>
      <c r="F135" t="s">
        <v>16</v>
      </c>
      <c r="G135" t="s">
        <v>53</v>
      </c>
      <c r="H135" t="s">
        <v>87</v>
      </c>
      <c r="I135" s="7">
        <v>58264</v>
      </c>
      <c r="J135" t="s">
        <v>19</v>
      </c>
      <c r="K135">
        <v>2019</v>
      </c>
      <c r="L135">
        <f>B135</f>
        <v>23</v>
      </c>
      <c r="M135">
        <f>_xlfn.XLOOKUP(J135,Capacities!$A$2:$A$17,Capacities!$B$2:$B$17)</f>
        <v>60500</v>
      </c>
      <c r="N135">
        <f>I135/M135</f>
        <v>0.9630413223140496</v>
      </c>
    </row>
    <row r="136" spans="1:14" x14ac:dyDescent="0.35">
      <c r="A136" t="s">
        <v>74</v>
      </c>
      <c r="B136">
        <v>23</v>
      </c>
      <c r="C136" t="s">
        <v>15</v>
      </c>
      <c r="D136" s="5">
        <v>43491</v>
      </c>
      <c r="E136" s="6">
        <v>0.625</v>
      </c>
      <c r="F136" t="s">
        <v>20</v>
      </c>
      <c r="G136" t="s">
        <v>52</v>
      </c>
      <c r="H136" t="s">
        <v>22</v>
      </c>
      <c r="I136" s="7">
        <v>4887</v>
      </c>
      <c r="J136" t="s">
        <v>23</v>
      </c>
      <c r="K136">
        <v>2019</v>
      </c>
      <c r="L136">
        <f>B136</f>
        <v>23</v>
      </c>
      <c r="M136">
        <f>_xlfn.XLOOKUP(J136,Capacities!$A$2:$A$17,Capacities!$B$2:$B$17)</f>
        <v>11850</v>
      </c>
      <c r="N136">
        <f>I136/M136</f>
        <v>0.41240506329113924</v>
      </c>
    </row>
    <row r="137" spans="1:14" x14ac:dyDescent="0.35">
      <c r="A137" t="s">
        <v>74</v>
      </c>
      <c r="B137">
        <v>23</v>
      </c>
      <c r="C137" t="s">
        <v>15</v>
      </c>
      <c r="D137" s="5">
        <v>43491</v>
      </c>
      <c r="E137" s="6">
        <v>0.625</v>
      </c>
      <c r="F137" t="s">
        <v>26</v>
      </c>
      <c r="G137" t="s">
        <v>43</v>
      </c>
      <c r="H137" t="s">
        <v>24</v>
      </c>
      <c r="I137" s="7">
        <v>16672</v>
      </c>
      <c r="J137" t="s">
        <v>50</v>
      </c>
      <c r="K137">
        <v>2019</v>
      </c>
      <c r="L137">
        <f>B137</f>
        <v>23</v>
      </c>
      <c r="M137">
        <f>_xlfn.XLOOKUP(J137,Capacities!$A$2:$A$17,Capacities!$B$2:$B$17)</f>
        <v>19852</v>
      </c>
      <c r="N137">
        <f>I137/M137</f>
        <v>0.83981462824904296</v>
      </c>
    </row>
    <row r="138" spans="1:14" x14ac:dyDescent="0.35">
      <c r="A138" t="s">
        <v>74</v>
      </c>
      <c r="B138">
        <v>23</v>
      </c>
      <c r="C138" t="s">
        <v>36</v>
      </c>
      <c r="D138" s="5">
        <v>43492</v>
      </c>
      <c r="E138" s="6">
        <v>0.5625</v>
      </c>
      <c r="F138" t="s">
        <v>39</v>
      </c>
      <c r="G138" t="s">
        <v>47</v>
      </c>
      <c r="H138" t="s">
        <v>37</v>
      </c>
      <c r="I138" s="7">
        <v>5650</v>
      </c>
      <c r="J138" t="s">
        <v>46</v>
      </c>
      <c r="K138">
        <v>2019</v>
      </c>
      <c r="L138">
        <f>B138</f>
        <v>23</v>
      </c>
      <c r="M138">
        <f>_xlfn.XLOOKUP(J138,Capacities!$A$2:$A$17,Capacities!$B$2:$B$17)</f>
        <v>8006</v>
      </c>
      <c r="N138">
        <f>I138/M138</f>
        <v>0.70572070946789911</v>
      </c>
    </row>
    <row r="139" spans="1:14" x14ac:dyDescent="0.35">
      <c r="A139" t="s">
        <v>74</v>
      </c>
      <c r="B139">
        <v>23</v>
      </c>
      <c r="C139" t="s">
        <v>36</v>
      </c>
      <c r="D139" s="5">
        <v>43492</v>
      </c>
      <c r="E139" s="6">
        <v>0.66666666666666663</v>
      </c>
      <c r="F139" t="s">
        <v>28</v>
      </c>
      <c r="G139" t="s">
        <v>54</v>
      </c>
      <c r="H139" t="s">
        <v>34</v>
      </c>
      <c r="I139" s="7">
        <v>9028</v>
      </c>
      <c r="J139" t="s">
        <v>31</v>
      </c>
      <c r="K139">
        <v>2019</v>
      </c>
      <c r="L139">
        <f>B139</f>
        <v>23</v>
      </c>
      <c r="M139">
        <f>_xlfn.XLOOKUP(J139,Capacities!$A$2:$A$17,Capacities!$B$2:$B$17)</f>
        <v>9672</v>
      </c>
      <c r="N139">
        <f>I139/M139</f>
        <v>0.93341604631927211</v>
      </c>
    </row>
    <row r="140" spans="1:14" x14ac:dyDescent="0.35">
      <c r="A140" t="s">
        <v>74</v>
      </c>
      <c r="B140">
        <v>24</v>
      </c>
      <c r="C140" t="s">
        <v>79</v>
      </c>
      <c r="D140" s="5">
        <v>43497</v>
      </c>
      <c r="E140" s="6">
        <v>0.82291666666666663</v>
      </c>
      <c r="F140" t="s">
        <v>32</v>
      </c>
      <c r="G140" t="s">
        <v>55</v>
      </c>
      <c r="H140" t="s">
        <v>26</v>
      </c>
      <c r="I140" s="7">
        <v>5552</v>
      </c>
      <c r="J140" t="s">
        <v>86</v>
      </c>
      <c r="K140">
        <v>2019</v>
      </c>
      <c r="L140">
        <f>B140</f>
        <v>24</v>
      </c>
      <c r="M140">
        <f>_xlfn.XLOOKUP(J140,Capacities!$A$2:$A$17,Capacities!$B$2:$B$17)</f>
        <v>15003</v>
      </c>
      <c r="N140">
        <f>I140/M140</f>
        <v>0.37005932146903953</v>
      </c>
    </row>
    <row r="141" spans="1:14" x14ac:dyDescent="0.35">
      <c r="A141" t="s">
        <v>74</v>
      </c>
      <c r="B141">
        <v>24</v>
      </c>
      <c r="C141" t="s">
        <v>15</v>
      </c>
      <c r="D141" s="5">
        <v>43498</v>
      </c>
      <c r="E141" s="6">
        <v>0.625</v>
      </c>
      <c r="F141" t="s">
        <v>87</v>
      </c>
      <c r="G141" t="s">
        <v>21</v>
      </c>
      <c r="H141" t="s">
        <v>20</v>
      </c>
      <c r="I141" s="7">
        <v>2297</v>
      </c>
      <c r="J141" t="s">
        <v>88</v>
      </c>
      <c r="K141">
        <v>2019</v>
      </c>
      <c r="L141">
        <f>B141</f>
        <v>24</v>
      </c>
      <c r="M141">
        <f>_xlfn.XLOOKUP(J141,Capacities!$A$2:$A$17,Capacities!$B$2:$B$17)</f>
        <v>6007</v>
      </c>
      <c r="N141">
        <f>I141/M141</f>
        <v>0.38238721491593142</v>
      </c>
    </row>
    <row r="142" spans="1:14" x14ac:dyDescent="0.35">
      <c r="A142" t="s">
        <v>74</v>
      </c>
      <c r="B142">
        <v>24</v>
      </c>
      <c r="C142" t="s">
        <v>15</v>
      </c>
      <c r="D142" s="5">
        <v>43498</v>
      </c>
      <c r="E142" s="6">
        <v>0.625</v>
      </c>
      <c r="F142" t="s">
        <v>37</v>
      </c>
      <c r="G142" t="s">
        <v>55</v>
      </c>
      <c r="H142" t="s">
        <v>30</v>
      </c>
      <c r="I142" s="7">
        <v>16269</v>
      </c>
      <c r="J142" t="s">
        <v>40</v>
      </c>
      <c r="K142">
        <v>2019</v>
      </c>
      <c r="L142">
        <f>B142</f>
        <v>24</v>
      </c>
      <c r="M142">
        <f>_xlfn.XLOOKUP(J142,Capacities!$A$2:$A$17,Capacities!$B$2:$B$17)</f>
        <v>20250</v>
      </c>
      <c r="N142">
        <f>I142/M142</f>
        <v>0.80340740740740746</v>
      </c>
    </row>
    <row r="143" spans="1:14" x14ac:dyDescent="0.35">
      <c r="A143" t="s">
        <v>74</v>
      </c>
      <c r="B143">
        <v>24</v>
      </c>
      <c r="C143" t="s">
        <v>15</v>
      </c>
      <c r="D143" s="5">
        <v>43498</v>
      </c>
      <c r="E143" s="6">
        <v>0.625</v>
      </c>
      <c r="F143" t="s">
        <v>22</v>
      </c>
      <c r="G143" t="s">
        <v>53</v>
      </c>
      <c r="H143" t="s">
        <v>28</v>
      </c>
      <c r="I143" s="7">
        <v>3839</v>
      </c>
      <c r="J143" t="s">
        <v>49</v>
      </c>
      <c r="K143">
        <v>2019</v>
      </c>
      <c r="L143">
        <f>B143</f>
        <v>24</v>
      </c>
      <c r="M143">
        <f>_xlfn.XLOOKUP(J143,Capacities!$A$2:$A$17,Capacities!$B$2:$B$17)</f>
        <v>13750</v>
      </c>
      <c r="N143">
        <f>I143/M143</f>
        <v>0.2792</v>
      </c>
    </row>
    <row r="144" spans="1:14" x14ac:dyDescent="0.35">
      <c r="A144" t="s">
        <v>74</v>
      </c>
      <c r="B144">
        <v>24</v>
      </c>
      <c r="C144" t="s">
        <v>15</v>
      </c>
      <c r="D144" s="5">
        <v>43498</v>
      </c>
      <c r="E144" s="6">
        <v>0.625</v>
      </c>
      <c r="F144" t="s">
        <v>34</v>
      </c>
      <c r="G144" t="s">
        <v>41</v>
      </c>
      <c r="H144" t="s">
        <v>39</v>
      </c>
      <c r="I144" s="7">
        <v>49463</v>
      </c>
      <c r="J144" t="s">
        <v>42</v>
      </c>
      <c r="K144">
        <v>2019</v>
      </c>
      <c r="L144">
        <f>B144</f>
        <v>24</v>
      </c>
      <c r="M144">
        <f>_xlfn.XLOOKUP(J144,Capacities!$A$2:$A$17,Capacities!$B$2:$B$17)</f>
        <v>51082</v>
      </c>
      <c r="N144">
        <f>I144/M144</f>
        <v>0.96830586116440232</v>
      </c>
    </row>
    <row r="145" spans="1:14" x14ac:dyDescent="0.35">
      <c r="A145" t="s">
        <v>74</v>
      </c>
      <c r="B145">
        <v>24</v>
      </c>
      <c r="C145" t="s">
        <v>36</v>
      </c>
      <c r="D145" s="5">
        <v>43499</v>
      </c>
      <c r="E145" s="6">
        <v>0.52083333333333337</v>
      </c>
      <c r="F145" t="s">
        <v>24</v>
      </c>
      <c r="G145" t="s">
        <v>25</v>
      </c>
      <c r="H145" t="s">
        <v>16</v>
      </c>
      <c r="I145" s="7">
        <v>6242</v>
      </c>
      <c r="J145" t="s">
        <v>27</v>
      </c>
      <c r="K145">
        <v>2019</v>
      </c>
      <c r="L145">
        <f>B145</f>
        <v>24</v>
      </c>
      <c r="M145">
        <f>_xlfn.XLOOKUP(J145,Capacities!$A$2:$A$17,Capacities!$B$2:$B$17)</f>
        <v>10700</v>
      </c>
      <c r="N145">
        <f>I145/M145</f>
        <v>0.58336448598130841</v>
      </c>
    </row>
    <row r="146" spans="1:14" x14ac:dyDescent="0.35">
      <c r="A146" t="s">
        <v>74</v>
      </c>
      <c r="B146">
        <v>25</v>
      </c>
      <c r="C146" t="s">
        <v>60</v>
      </c>
      <c r="D146" s="5">
        <v>43502</v>
      </c>
      <c r="E146" s="6">
        <v>0.82291666666666663</v>
      </c>
      <c r="F146" t="s">
        <v>30</v>
      </c>
      <c r="G146" t="s">
        <v>61</v>
      </c>
      <c r="H146" t="s">
        <v>34</v>
      </c>
      <c r="I146" s="7">
        <v>19190</v>
      </c>
      <c r="J146" t="s">
        <v>48</v>
      </c>
      <c r="K146">
        <v>2019</v>
      </c>
      <c r="L146">
        <f>B146</f>
        <v>25</v>
      </c>
      <c r="M146">
        <f>_xlfn.XLOOKUP(J146,Capacities!$A$2:$A$17,Capacities!$B$2:$B$17)</f>
        <v>21412</v>
      </c>
      <c r="N146">
        <f>I146/M146</f>
        <v>0.89622641509433965</v>
      </c>
    </row>
    <row r="147" spans="1:14" x14ac:dyDescent="0.35">
      <c r="A147" t="s">
        <v>74</v>
      </c>
      <c r="B147">
        <v>25</v>
      </c>
      <c r="C147" t="s">
        <v>60</v>
      </c>
      <c r="D147" s="5">
        <v>43502</v>
      </c>
      <c r="E147" s="6">
        <v>0.82291666666666663</v>
      </c>
      <c r="F147" t="s">
        <v>16</v>
      </c>
      <c r="G147" t="s">
        <v>43</v>
      </c>
      <c r="H147" t="s">
        <v>37</v>
      </c>
      <c r="I147" s="7">
        <v>56730</v>
      </c>
      <c r="J147" t="s">
        <v>19</v>
      </c>
      <c r="K147">
        <v>2019</v>
      </c>
      <c r="L147">
        <f>B147</f>
        <v>25</v>
      </c>
      <c r="M147">
        <f>_xlfn.XLOOKUP(J147,Capacities!$A$2:$A$17,Capacities!$B$2:$B$17)</f>
        <v>60500</v>
      </c>
      <c r="N147">
        <f>I147/M147</f>
        <v>0.93768595041322311</v>
      </c>
    </row>
    <row r="148" spans="1:14" x14ac:dyDescent="0.35">
      <c r="A148" t="s">
        <v>74</v>
      </c>
      <c r="B148">
        <v>25</v>
      </c>
      <c r="C148" t="s">
        <v>60</v>
      </c>
      <c r="D148" s="5">
        <v>43502</v>
      </c>
      <c r="E148" s="6">
        <v>0.82291666666666663</v>
      </c>
      <c r="F148" t="s">
        <v>20</v>
      </c>
      <c r="G148" t="s">
        <v>51</v>
      </c>
      <c r="H148" t="s">
        <v>32</v>
      </c>
      <c r="I148" s="7">
        <v>4694</v>
      </c>
      <c r="J148" t="s">
        <v>23</v>
      </c>
      <c r="K148">
        <v>2019</v>
      </c>
      <c r="L148">
        <f>B148</f>
        <v>25</v>
      </c>
      <c r="M148">
        <f>_xlfn.XLOOKUP(J148,Capacities!$A$2:$A$17,Capacities!$B$2:$B$17)</f>
        <v>11850</v>
      </c>
      <c r="N148">
        <f>I148/M148</f>
        <v>0.39611814345991564</v>
      </c>
    </row>
    <row r="149" spans="1:14" x14ac:dyDescent="0.35">
      <c r="A149" t="s">
        <v>74</v>
      </c>
      <c r="B149">
        <v>25</v>
      </c>
      <c r="C149" t="s">
        <v>60</v>
      </c>
      <c r="D149" s="5">
        <v>43502</v>
      </c>
      <c r="E149" s="6">
        <v>0.82291666666666663</v>
      </c>
      <c r="F149" t="s">
        <v>87</v>
      </c>
      <c r="G149" t="s">
        <v>45</v>
      </c>
      <c r="H149" t="s">
        <v>24</v>
      </c>
      <c r="I149" s="7">
        <v>1174</v>
      </c>
      <c r="J149" t="s">
        <v>88</v>
      </c>
      <c r="K149">
        <v>2019</v>
      </c>
      <c r="L149">
        <f>B149</f>
        <v>25</v>
      </c>
      <c r="M149">
        <f>_xlfn.XLOOKUP(J149,Capacities!$A$2:$A$17,Capacities!$B$2:$B$17)</f>
        <v>6007</v>
      </c>
      <c r="N149">
        <f>I149/M149</f>
        <v>0.19543865490261361</v>
      </c>
    </row>
    <row r="150" spans="1:14" x14ac:dyDescent="0.35">
      <c r="A150" t="s">
        <v>74</v>
      </c>
      <c r="B150">
        <v>25</v>
      </c>
      <c r="C150" t="s">
        <v>60</v>
      </c>
      <c r="D150" s="5">
        <v>43502</v>
      </c>
      <c r="E150" s="6">
        <v>0.82291666666666663</v>
      </c>
      <c r="F150" t="s">
        <v>26</v>
      </c>
      <c r="G150" t="s">
        <v>29</v>
      </c>
      <c r="H150" t="s">
        <v>28</v>
      </c>
      <c r="I150" s="7">
        <v>15147</v>
      </c>
      <c r="J150" t="s">
        <v>50</v>
      </c>
      <c r="K150">
        <v>2019</v>
      </c>
      <c r="L150">
        <f>B150</f>
        <v>25</v>
      </c>
      <c r="M150">
        <f>_xlfn.XLOOKUP(J150,Capacities!$A$2:$A$17,Capacities!$B$2:$B$17)</f>
        <v>19852</v>
      </c>
      <c r="N150">
        <f>I150/M150</f>
        <v>0.76299617167036071</v>
      </c>
    </row>
    <row r="151" spans="1:14" x14ac:dyDescent="0.35">
      <c r="A151" t="s">
        <v>74</v>
      </c>
      <c r="B151">
        <v>25</v>
      </c>
      <c r="C151" t="s">
        <v>60</v>
      </c>
      <c r="D151" s="5">
        <v>43502</v>
      </c>
      <c r="E151" s="6">
        <v>0.82291666666666663</v>
      </c>
      <c r="F151" t="s">
        <v>39</v>
      </c>
      <c r="G151" t="s">
        <v>55</v>
      </c>
      <c r="H151" t="s">
        <v>22</v>
      </c>
      <c r="I151" s="7">
        <v>4383</v>
      </c>
      <c r="J151" t="s">
        <v>46</v>
      </c>
      <c r="K151">
        <v>2019</v>
      </c>
      <c r="L151">
        <f>B151</f>
        <v>25</v>
      </c>
      <c r="M151">
        <f>_xlfn.XLOOKUP(J151,Capacities!$A$2:$A$17,Capacities!$B$2:$B$17)</f>
        <v>8006</v>
      </c>
      <c r="N151">
        <f>I151/M151</f>
        <v>0.54746440169872601</v>
      </c>
    </row>
    <row r="152" spans="1:14" x14ac:dyDescent="0.35">
      <c r="A152" t="s">
        <v>74</v>
      </c>
      <c r="B152">
        <v>26</v>
      </c>
      <c r="C152" t="s">
        <v>15</v>
      </c>
      <c r="D152" s="5">
        <v>43512</v>
      </c>
      <c r="E152" s="6">
        <v>0.625</v>
      </c>
      <c r="F152" t="s">
        <v>30</v>
      </c>
      <c r="G152" t="s">
        <v>51</v>
      </c>
      <c r="H152" t="s">
        <v>39</v>
      </c>
      <c r="I152" s="7">
        <v>14701</v>
      </c>
      <c r="J152" t="s">
        <v>48</v>
      </c>
      <c r="K152">
        <v>2019</v>
      </c>
      <c r="L152">
        <f>B152</f>
        <v>26</v>
      </c>
      <c r="M152">
        <f>_xlfn.XLOOKUP(J152,Capacities!$A$2:$A$17,Capacities!$B$2:$B$17)</f>
        <v>21412</v>
      </c>
      <c r="N152">
        <f>I152/M152</f>
        <v>0.68657762002615352</v>
      </c>
    </row>
    <row r="153" spans="1:14" x14ac:dyDescent="0.35">
      <c r="A153" t="s">
        <v>74</v>
      </c>
      <c r="B153">
        <v>26</v>
      </c>
      <c r="C153" t="s">
        <v>15</v>
      </c>
      <c r="D153" s="5">
        <v>43512</v>
      </c>
      <c r="E153" s="6">
        <v>0.625</v>
      </c>
      <c r="F153" t="s">
        <v>37</v>
      </c>
      <c r="G153" t="s">
        <v>43</v>
      </c>
      <c r="H153" t="s">
        <v>87</v>
      </c>
      <c r="I153" s="7">
        <v>16265</v>
      </c>
      <c r="J153" t="s">
        <v>40</v>
      </c>
      <c r="K153">
        <v>2019</v>
      </c>
      <c r="L153">
        <f>B153</f>
        <v>26</v>
      </c>
      <c r="M153">
        <f>_xlfn.XLOOKUP(J153,Capacities!$A$2:$A$17,Capacities!$B$2:$B$17)</f>
        <v>20250</v>
      </c>
      <c r="N153">
        <f>I153/M153</f>
        <v>0.80320987654320986</v>
      </c>
    </row>
    <row r="154" spans="1:14" x14ac:dyDescent="0.35">
      <c r="A154" t="s">
        <v>74</v>
      </c>
      <c r="B154">
        <v>26</v>
      </c>
      <c r="C154" t="s">
        <v>15</v>
      </c>
      <c r="D154" s="5">
        <v>43512</v>
      </c>
      <c r="E154" s="6">
        <v>0.625</v>
      </c>
      <c r="F154" t="s">
        <v>28</v>
      </c>
      <c r="G154" t="s">
        <v>55</v>
      </c>
      <c r="H154" t="s">
        <v>20</v>
      </c>
      <c r="I154" s="7">
        <v>2321</v>
      </c>
      <c r="J154" t="s">
        <v>31</v>
      </c>
      <c r="K154">
        <v>2019</v>
      </c>
      <c r="L154">
        <f>B154</f>
        <v>26</v>
      </c>
      <c r="M154">
        <f>_xlfn.XLOOKUP(J154,Capacities!$A$2:$A$17,Capacities!$B$2:$B$17)</f>
        <v>9672</v>
      </c>
      <c r="N154">
        <f>I154/M154</f>
        <v>0.23997105045492143</v>
      </c>
    </row>
    <row r="155" spans="1:14" x14ac:dyDescent="0.35">
      <c r="A155" t="s">
        <v>74</v>
      </c>
      <c r="B155">
        <v>26</v>
      </c>
      <c r="C155" t="s">
        <v>15</v>
      </c>
      <c r="D155" s="5">
        <v>43512</v>
      </c>
      <c r="E155" s="6">
        <v>0.625</v>
      </c>
      <c r="F155" t="s">
        <v>34</v>
      </c>
      <c r="G155" t="s">
        <v>29</v>
      </c>
      <c r="H155" t="s">
        <v>24</v>
      </c>
      <c r="I155" s="7">
        <v>49549</v>
      </c>
      <c r="J155" t="s">
        <v>42</v>
      </c>
      <c r="K155">
        <v>2019</v>
      </c>
      <c r="L155">
        <f>B155</f>
        <v>26</v>
      </c>
      <c r="M155">
        <f>_xlfn.XLOOKUP(J155,Capacities!$A$2:$A$17,Capacities!$B$2:$B$17)</f>
        <v>51082</v>
      </c>
      <c r="N155">
        <f>I155/M155</f>
        <v>0.96998942876159899</v>
      </c>
    </row>
    <row r="156" spans="1:14" x14ac:dyDescent="0.35">
      <c r="A156" t="s">
        <v>74</v>
      </c>
      <c r="B156">
        <v>26</v>
      </c>
      <c r="C156" t="s">
        <v>36</v>
      </c>
      <c r="D156" s="5">
        <v>43513</v>
      </c>
      <c r="E156" s="6">
        <v>0.51041666666666663</v>
      </c>
      <c r="F156" t="s">
        <v>22</v>
      </c>
      <c r="G156" t="s">
        <v>45</v>
      </c>
      <c r="H156" t="s">
        <v>26</v>
      </c>
      <c r="I156" s="7">
        <v>5091</v>
      </c>
      <c r="J156" t="s">
        <v>49</v>
      </c>
      <c r="K156">
        <v>2019</v>
      </c>
      <c r="L156">
        <f>B156</f>
        <v>26</v>
      </c>
      <c r="M156">
        <f>_xlfn.XLOOKUP(J156,Capacities!$A$2:$A$17,Capacities!$B$2:$B$17)</f>
        <v>13750</v>
      </c>
      <c r="N156">
        <f>I156/M156</f>
        <v>0.37025454545454545</v>
      </c>
    </row>
    <row r="157" spans="1:14" x14ac:dyDescent="0.35">
      <c r="A157" t="s">
        <v>74</v>
      </c>
      <c r="B157">
        <v>26</v>
      </c>
      <c r="C157" t="s">
        <v>36</v>
      </c>
      <c r="D157" s="5">
        <v>43513</v>
      </c>
      <c r="E157" s="6">
        <v>0.66666666666666663</v>
      </c>
      <c r="F157" t="s">
        <v>32</v>
      </c>
      <c r="G157" t="s">
        <v>52</v>
      </c>
      <c r="H157" t="s">
        <v>16</v>
      </c>
      <c r="I157" s="7">
        <v>11916</v>
      </c>
      <c r="J157" t="s">
        <v>86</v>
      </c>
      <c r="K157">
        <v>2019</v>
      </c>
      <c r="L157">
        <f>B157</f>
        <v>26</v>
      </c>
      <c r="M157">
        <f>_xlfn.XLOOKUP(J157,Capacities!$A$2:$A$17,Capacities!$B$2:$B$17)</f>
        <v>15003</v>
      </c>
      <c r="N157">
        <f>I157/M157</f>
        <v>0.79424115176964605</v>
      </c>
    </row>
    <row r="158" spans="1:14" x14ac:dyDescent="0.35">
      <c r="A158" t="s">
        <v>74</v>
      </c>
      <c r="B158">
        <v>27</v>
      </c>
      <c r="C158" t="s">
        <v>79</v>
      </c>
      <c r="D158" s="5">
        <v>43518</v>
      </c>
      <c r="E158" s="6">
        <v>0.82291666666666663</v>
      </c>
      <c r="F158" t="s">
        <v>20</v>
      </c>
      <c r="G158" t="s">
        <v>61</v>
      </c>
      <c r="H158" t="s">
        <v>37</v>
      </c>
      <c r="I158" s="7">
        <v>6450</v>
      </c>
      <c r="J158" t="s">
        <v>23</v>
      </c>
      <c r="K158">
        <v>2019</v>
      </c>
      <c r="L158">
        <f>B158</f>
        <v>27</v>
      </c>
      <c r="M158">
        <f>_xlfn.XLOOKUP(J158,Capacities!$A$2:$A$17,Capacities!$B$2:$B$17)</f>
        <v>11850</v>
      </c>
      <c r="N158">
        <f>I158/M158</f>
        <v>0.54430379746835444</v>
      </c>
    </row>
    <row r="159" spans="1:14" x14ac:dyDescent="0.35">
      <c r="A159" t="s">
        <v>74</v>
      </c>
      <c r="B159">
        <v>27</v>
      </c>
      <c r="C159" t="s">
        <v>15</v>
      </c>
      <c r="D159" s="5">
        <v>43519</v>
      </c>
      <c r="E159" s="6">
        <v>0.625</v>
      </c>
      <c r="F159" t="s">
        <v>26</v>
      </c>
      <c r="G159" t="s">
        <v>21</v>
      </c>
      <c r="H159" t="s">
        <v>39</v>
      </c>
      <c r="I159" s="7">
        <v>16705</v>
      </c>
      <c r="J159" t="s">
        <v>50</v>
      </c>
      <c r="K159">
        <v>2019</v>
      </c>
      <c r="L159">
        <f>B159</f>
        <v>27</v>
      </c>
      <c r="M159">
        <f>_xlfn.XLOOKUP(J159,Capacities!$A$2:$A$17,Capacities!$B$2:$B$17)</f>
        <v>19852</v>
      </c>
      <c r="N159">
        <f>I159/M159</f>
        <v>0.84147692927664719</v>
      </c>
    </row>
    <row r="160" spans="1:14" x14ac:dyDescent="0.35">
      <c r="A160" t="s">
        <v>74</v>
      </c>
      <c r="B160">
        <v>27</v>
      </c>
      <c r="C160" t="s">
        <v>15</v>
      </c>
      <c r="D160" s="5">
        <v>43519</v>
      </c>
      <c r="E160" s="6">
        <v>0.625</v>
      </c>
      <c r="F160" t="s">
        <v>28</v>
      </c>
      <c r="G160" t="s">
        <v>33</v>
      </c>
      <c r="H160" t="s">
        <v>32</v>
      </c>
      <c r="I160" s="7">
        <v>2569</v>
      </c>
      <c r="J160" t="s">
        <v>31</v>
      </c>
      <c r="K160">
        <v>2019</v>
      </c>
      <c r="L160">
        <f>B160</f>
        <v>27</v>
      </c>
      <c r="M160">
        <f>_xlfn.XLOOKUP(J160,Capacities!$A$2:$A$17,Capacities!$B$2:$B$17)</f>
        <v>9672</v>
      </c>
      <c r="N160">
        <f>I160/M160</f>
        <v>0.26561207609594706</v>
      </c>
    </row>
    <row r="161" spans="1:14" x14ac:dyDescent="0.35">
      <c r="A161" t="s">
        <v>74</v>
      </c>
      <c r="B161">
        <v>27</v>
      </c>
      <c r="C161" t="s">
        <v>15</v>
      </c>
      <c r="D161" s="5">
        <v>43519</v>
      </c>
      <c r="E161" s="6">
        <v>0.625</v>
      </c>
      <c r="F161" t="s">
        <v>24</v>
      </c>
      <c r="G161" t="s">
        <v>25</v>
      </c>
      <c r="H161" t="s">
        <v>30</v>
      </c>
      <c r="I161" s="7">
        <v>5092</v>
      </c>
      <c r="J161" t="s">
        <v>27</v>
      </c>
      <c r="K161">
        <v>2019</v>
      </c>
      <c r="L161">
        <f>B161</f>
        <v>27</v>
      </c>
      <c r="M161">
        <f>_xlfn.XLOOKUP(J161,Capacities!$A$2:$A$17,Capacities!$B$2:$B$17)</f>
        <v>10700</v>
      </c>
      <c r="N161">
        <f>I161/M161</f>
        <v>0.47588785046728971</v>
      </c>
    </row>
    <row r="162" spans="1:14" x14ac:dyDescent="0.35">
      <c r="A162" t="s">
        <v>74</v>
      </c>
      <c r="B162">
        <v>27</v>
      </c>
      <c r="C162" t="s">
        <v>36</v>
      </c>
      <c r="D162" s="5">
        <v>43520</v>
      </c>
      <c r="E162" s="6">
        <v>0.51041666666666663</v>
      </c>
      <c r="F162" t="s">
        <v>87</v>
      </c>
      <c r="G162" t="s">
        <v>62</v>
      </c>
      <c r="H162" t="s">
        <v>34</v>
      </c>
      <c r="I162" s="7">
        <v>5827</v>
      </c>
      <c r="J162" t="s">
        <v>88</v>
      </c>
      <c r="K162">
        <v>2019</v>
      </c>
      <c r="L162">
        <f>B162</f>
        <v>27</v>
      </c>
      <c r="M162">
        <f>_xlfn.XLOOKUP(J162,Capacities!$A$2:$A$17,Capacities!$B$2:$B$17)</f>
        <v>6007</v>
      </c>
      <c r="N162">
        <f>I162/M162</f>
        <v>0.97003495921425009</v>
      </c>
    </row>
    <row r="163" spans="1:14" x14ac:dyDescent="0.35">
      <c r="A163" t="s">
        <v>74</v>
      </c>
      <c r="B163">
        <v>27</v>
      </c>
      <c r="C163" t="s">
        <v>36</v>
      </c>
      <c r="D163" s="5">
        <v>43520</v>
      </c>
      <c r="E163" s="6">
        <v>0.625</v>
      </c>
      <c r="F163" t="s">
        <v>16</v>
      </c>
      <c r="G163" t="s">
        <v>64</v>
      </c>
      <c r="H163" t="s">
        <v>22</v>
      </c>
      <c r="I163" s="7">
        <v>58604</v>
      </c>
      <c r="J163" t="s">
        <v>19</v>
      </c>
      <c r="K163">
        <v>2019</v>
      </c>
      <c r="L163">
        <f>B163</f>
        <v>27</v>
      </c>
      <c r="M163">
        <f>_xlfn.XLOOKUP(J163,Capacities!$A$2:$A$17,Capacities!$B$2:$B$17)</f>
        <v>60500</v>
      </c>
      <c r="N163">
        <f>I163/M163</f>
        <v>0.96866115702479338</v>
      </c>
    </row>
    <row r="164" spans="1:14" x14ac:dyDescent="0.35">
      <c r="A164" t="s">
        <v>74</v>
      </c>
      <c r="B164">
        <v>28</v>
      </c>
      <c r="C164" t="s">
        <v>60</v>
      </c>
      <c r="D164" s="5">
        <v>43523</v>
      </c>
      <c r="E164" s="6">
        <v>0.82291666666666663</v>
      </c>
      <c r="F164" t="s">
        <v>30</v>
      </c>
      <c r="G164" t="s">
        <v>25</v>
      </c>
      <c r="H164" t="s">
        <v>87</v>
      </c>
      <c r="I164" s="7">
        <v>12468</v>
      </c>
      <c r="J164" t="s">
        <v>48</v>
      </c>
      <c r="K164">
        <v>2019</v>
      </c>
      <c r="L164">
        <f>B164</f>
        <v>28</v>
      </c>
      <c r="M164">
        <f>_xlfn.XLOOKUP(J164,Capacities!$A$2:$A$17,Capacities!$B$2:$B$17)</f>
        <v>21412</v>
      </c>
      <c r="N164">
        <f>I164/M164</f>
        <v>0.58229030450214836</v>
      </c>
    </row>
    <row r="165" spans="1:14" x14ac:dyDescent="0.35">
      <c r="A165" t="s">
        <v>74</v>
      </c>
      <c r="B165">
        <v>28</v>
      </c>
      <c r="C165" t="s">
        <v>60</v>
      </c>
      <c r="D165" s="5">
        <v>43523</v>
      </c>
      <c r="E165" s="6">
        <v>0.82291666666666663</v>
      </c>
      <c r="F165" t="s">
        <v>26</v>
      </c>
      <c r="G165" t="s">
        <v>55</v>
      </c>
      <c r="H165" t="s">
        <v>16</v>
      </c>
      <c r="I165" s="7">
        <v>18258</v>
      </c>
      <c r="J165" t="s">
        <v>50</v>
      </c>
      <c r="K165">
        <v>2019</v>
      </c>
      <c r="L165">
        <f>B165</f>
        <v>28</v>
      </c>
      <c r="M165">
        <f>_xlfn.XLOOKUP(J165,Capacities!$A$2:$A$17,Capacities!$B$2:$B$17)</f>
        <v>19852</v>
      </c>
      <c r="N165">
        <f>I165/M165</f>
        <v>0.91970582309087245</v>
      </c>
    </row>
    <row r="166" spans="1:14" x14ac:dyDescent="0.35">
      <c r="A166" t="s">
        <v>74</v>
      </c>
      <c r="B166">
        <v>28</v>
      </c>
      <c r="C166" t="s">
        <v>60</v>
      </c>
      <c r="D166" s="5">
        <v>43523</v>
      </c>
      <c r="E166" s="6">
        <v>0.82291666666666663</v>
      </c>
      <c r="F166" t="s">
        <v>34</v>
      </c>
      <c r="G166" t="s">
        <v>41</v>
      </c>
      <c r="H166" t="s">
        <v>20</v>
      </c>
      <c r="I166" s="7">
        <v>48859</v>
      </c>
      <c r="J166" t="s">
        <v>42</v>
      </c>
      <c r="K166">
        <v>2019</v>
      </c>
      <c r="L166">
        <f>B166</f>
        <v>28</v>
      </c>
      <c r="M166">
        <f>_xlfn.XLOOKUP(J166,Capacities!$A$2:$A$17,Capacities!$B$2:$B$17)</f>
        <v>51082</v>
      </c>
      <c r="N166">
        <f>I166/M166</f>
        <v>0.95648173524920721</v>
      </c>
    </row>
    <row r="167" spans="1:14" x14ac:dyDescent="0.35">
      <c r="A167" t="s">
        <v>74</v>
      </c>
      <c r="B167">
        <v>28</v>
      </c>
      <c r="C167" t="s">
        <v>60</v>
      </c>
      <c r="D167" s="5">
        <v>43523</v>
      </c>
      <c r="E167" s="6">
        <v>0.82291666666666663</v>
      </c>
      <c r="F167" t="s">
        <v>24</v>
      </c>
      <c r="G167" t="s">
        <v>55</v>
      </c>
      <c r="H167" t="s">
        <v>37</v>
      </c>
      <c r="I167" s="7">
        <v>4136</v>
      </c>
      <c r="J167" t="s">
        <v>27</v>
      </c>
      <c r="K167">
        <v>2019</v>
      </c>
      <c r="L167">
        <f>B167</f>
        <v>28</v>
      </c>
      <c r="M167">
        <f>_xlfn.XLOOKUP(J167,Capacities!$A$2:$A$17,Capacities!$B$2:$B$17)</f>
        <v>10700</v>
      </c>
      <c r="N167">
        <f>I167/M167</f>
        <v>0.38654205607476638</v>
      </c>
    </row>
    <row r="168" spans="1:14" x14ac:dyDescent="0.35">
      <c r="A168" t="s">
        <v>74</v>
      </c>
      <c r="B168">
        <v>28</v>
      </c>
      <c r="C168" t="s">
        <v>15</v>
      </c>
      <c r="D168" s="5">
        <v>43526</v>
      </c>
      <c r="E168" s="6">
        <v>0.625</v>
      </c>
      <c r="F168" t="s">
        <v>32</v>
      </c>
      <c r="G168" t="s">
        <v>29</v>
      </c>
      <c r="H168" t="s">
        <v>22</v>
      </c>
      <c r="I168" s="7">
        <v>6215</v>
      </c>
      <c r="J168" t="s">
        <v>86</v>
      </c>
      <c r="K168">
        <v>2019</v>
      </c>
      <c r="L168">
        <f>B168</f>
        <v>28</v>
      </c>
      <c r="M168">
        <f>_xlfn.XLOOKUP(J168,Capacities!$A$2:$A$17,Capacities!$B$2:$B$17)</f>
        <v>15003</v>
      </c>
      <c r="N168">
        <f>I168/M168</f>
        <v>0.41425048323668601</v>
      </c>
    </row>
    <row r="169" spans="1:14" x14ac:dyDescent="0.35">
      <c r="A169" t="s">
        <v>74</v>
      </c>
      <c r="B169">
        <v>28</v>
      </c>
      <c r="C169" t="s">
        <v>15</v>
      </c>
      <c r="D169" s="5">
        <v>43526</v>
      </c>
      <c r="E169" s="6">
        <v>0.625</v>
      </c>
      <c r="F169" t="s">
        <v>39</v>
      </c>
      <c r="G169" t="s">
        <v>33</v>
      </c>
      <c r="H169" t="s">
        <v>28</v>
      </c>
      <c r="I169" s="7">
        <v>4014</v>
      </c>
      <c r="J169" t="s">
        <v>46</v>
      </c>
      <c r="K169">
        <v>2019</v>
      </c>
      <c r="L169">
        <f>B169</f>
        <v>28</v>
      </c>
      <c r="M169">
        <f>_xlfn.XLOOKUP(J169,Capacities!$A$2:$A$17,Capacities!$B$2:$B$17)</f>
        <v>8006</v>
      </c>
      <c r="N169">
        <f>I169/M169</f>
        <v>0.50137396952285784</v>
      </c>
    </row>
    <row r="170" spans="1:14" x14ac:dyDescent="0.35">
      <c r="A170" t="s">
        <v>74</v>
      </c>
      <c r="B170">
        <v>29</v>
      </c>
      <c r="C170" t="s">
        <v>79</v>
      </c>
      <c r="D170" s="5">
        <v>43532</v>
      </c>
      <c r="E170" s="6">
        <v>0.82291666666666663</v>
      </c>
      <c r="F170" t="s">
        <v>37</v>
      </c>
      <c r="G170" t="s">
        <v>21</v>
      </c>
      <c r="H170" t="s">
        <v>34</v>
      </c>
      <c r="I170" s="7">
        <v>20065</v>
      </c>
      <c r="J170" t="s">
        <v>40</v>
      </c>
      <c r="K170">
        <v>2019</v>
      </c>
      <c r="L170">
        <f>B170</f>
        <v>29</v>
      </c>
      <c r="M170">
        <f>_xlfn.XLOOKUP(J170,Capacities!$A$2:$A$17,Capacities!$B$2:$B$17)</f>
        <v>20250</v>
      </c>
      <c r="N170">
        <f>I170/M170</f>
        <v>0.99086419753086419</v>
      </c>
    </row>
    <row r="171" spans="1:14" x14ac:dyDescent="0.35">
      <c r="A171" t="s">
        <v>74</v>
      </c>
      <c r="B171">
        <v>29</v>
      </c>
      <c r="C171" t="s">
        <v>15</v>
      </c>
      <c r="D171" s="5">
        <v>43533</v>
      </c>
      <c r="E171" s="6">
        <v>0.625</v>
      </c>
      <c r="F171" t="s">
        <v>16</v>
      </c>
      <c r="G171" t="s">
        <v>29</v>
      </c>
      <c r="H171" t="s">
        <v>30</v>
      </c>
      <c r="I171" s="7">
        <v>59123</v>
      </c>
      <c r="J171" t="s">
        <v>19</v>
      </c>
      <c r="K171">
        <v>2019</v>
      </c>
      <c r="L171">
        <f>B171</f>
        <v>29</v>
      </c>
      <c r="M171">
        <f>_xlfn.XLOOKUP(J171,Capacities!$A$2:$A$17,Capacities!$B$2:$B$17)</f>
        <v>60500</v>
      </c>
      <c r="N171">
        <f>I171/M171</f>
        <v>0.97723966942148766</v>
      </c>
    </row>
    <row r="172" spans="1:14" x14ac:dyDescent="0.35">
      <c r="A172" t="s">
        <v>74</v>
      </c>
      <c r="B172">
        <v>29</v>
      </c>
      <c r="C172" t="s">
        <v>15</v>
      </c>
      <c r="D172" s="5">
        <v>43533</v>
      </c>
      <c r="E172" s="6">
        <v>0.625</v>
      </c>
      <c r="F172" t="s">
        <v>20</v>
      </c>
      <c r="G172" t="s">
        <v>52</v>
      </c>
      <c r="H172" t="s">
        <v>26</v>
      </c>
      <c r="I172" s="7">
        <v>5667</v>
      </c>
      <c r="J172" t="s">
        <v>23</v>
      </c>
      <c r="K172">
        <v>2019</v>
      </c>
      <c r="L172">
        <f>B172</f>
        <v>29</v>
      </c>
      <c r="M172">
        <f>_xlfn.XLOOKUP(J172,Capacities!$A$2:$A$17,Capacities!$B$2:$B$17)</f>
        <v>11850</v>
      </c>
      <c r="N172">
        <f>I172/M172</f>
        <v>0.47822784810126584</v>
      </c>
    </row>
    <row r="173" spans="1:14" x14ac:dyDescent="0.35">
      <c r="A173" t="s">
        <v>74</v>
      </c>
      <c r="B173">
        <v>29</v>
      </c>
      <c r="C173" t="s">
        <v>15</v>
      </c>
      <c r="D173" s="5">
        <v>43533</v>
      </c>
      <c r="E173" s="6">
        <v>0.625</v>
      </c>
      <c r="F173" t="s">
        <v>28</v>
      </c>
      <c r="G173" t="s">
        <v>56</v>
      </c>
      <c r="H173" t="s">
        <v>24</v>
      </c>
      <c r="I173" s="7">
        <v>1615</v>
      </c>
      <c r="J173" t="s">
        <v>31</v>
      </c>
      <c r="K173">
        <v>2019</v>
      </c>
      <c r="L173">
        <f>B173</f>
        <v>29</v>
      </c>
      <c r="M173">
        <f>_xlfn.XLOOKUP(J173,Capacities!$A$2:$A$17,Capacities!$B$2:$B$17)</f>
        <v>9672</v>
      </c>
      <c r="N173">
        <f>I173/M173</f>
        <v>0.16697684036393715</v>
      </c>
    </row>
    <row r="174" spans="1:14" x14ac:dyDescent="0.35">
      <c r="A174" t="s">
        <v>74</v>
      </c>
      <c r="B174">
        <v>29</v>
      </c>
      <c r="C174" t="s">
        <v>15</v>
      </c>
      <c r="D174" s="5">
        <v>43533</v>
      </c>
      <c r="E174" s="6">
        <v>0.625</v>
      </c>
      <c r="F174" t="s">
        <v>22</v>
      </c>
      <c r="G174" t="s">
        <v>53</v>
      </c>
      <c r="H174" t="s">
        <v>87</v>
      </c>
      <c r="I174" s="7">
        <v>5248</v>
      </c>
      <c r="J174" t="s">
        <v>49</v>
      </c>
      <c r="K174">
        <v>2019</v>
      </c>
      <c r="L174">
        <f>B174</f>
        <v>29</v>
      </c>
      <c r="M174">
        <f>_xlfn.XLOOKUP(J174,Capacities!$A$2:$A$17,Capacities!$B$2:$B$17)</f>
        <v>13750</v>
      </c>
      <c r="N174">
        <f>I174/M174</f>
        <v>0.38167272727272727</v>
      </c>
    </row>
    <row r="175" spans="1:14" x14ac:dyDescent="0.35">
      <c r="A175" t="s">
        <v>74</v>
      </c>
      <c r="B175">
        <v>29</v>
      </c>
      <c r="C175" t="s">
        <v>82</v>
      </c>
      <c r="D175" s="5">
        <v>43535</v>
      </c>
      <c r="E175" s="6">
        <v>0.82291666666666663</v>
      </c>
      <c r="F175" t="s">
        <v>39</v>
      </c>
      <c r="G175" t="s">
        <v>52</v>
      </c>
      <c r="H175" t="s">
        <v>32</v>
      </c>
      <c r="I175" s="7">
        <v>4458</v>
      </c>
      <c r="J175" t="s">
        <v>46</v>
      </c>
      <c r="K175">
        <v>2019</v>
      </c>
      <c r="L175">
        <f>B175</f>
        <v>29</v>
      </c>
      <c r="M175">
        <f>_xlfn.XLOOKUP(J175,Capacities!$A$2:$A$17,Capacities!$B$2:$B$17)</f>
        <v>8006</v>
      </c>
      <c r="N175">
        <f>I175/M175</f>
        <v>0.55683237571821131</v>
      </c>
    </row>
    <row r="176" spans="1:14" x14ac:dyDescent="0.35">
      <c r="A176" t="s">
        <v>74</v>
      </c>
      <c r="B176">
        <v>30</v>
      </c>
      <c r="C176" t="s">
        <v>15</v>
      </c>
      <c r="D176" s="5">
        <v>43540</v>
      </c>
      <c r="E176" s="6">
        <v>0.625</v>
      </c>
      <c r="F176" t="s">
        <v>30</v>
      </c>
      <c r="G176" t="s">
        <v>21</v>
      </c>
      <c r="H176" t="s">
        <v>28</v>
      </c>
      <c r="I176" s="7">
        <v>14366</v>
      </c>
      <c r="J176" t="s">
        <v>48</v>
      </c>
      <c r="K176">
        <v>2019</v>
      </c>
      <c r="L176">
        <f>B176</f>
        <v>30</v>
      </c>
      <c r="M176">
        <f>_xlfn.XLOOKUP(J176,Capacities!$A$2:$A$17,Capacities!$B$2:$B$17)</f>
        <v>21412</v>
      </c>
      <c r="N176">
        <f>I176/M176</f>
        <v>0.67093218755837847</v>
      </c>
    </row>
    <row r="177" spans="1:14" x14ac:dyDescent="0.35">
      <c r="A177" t="s">
        <v>74</v>
      </c>
      <c r="B177">
        <v>30</v>
      </c>
      <c r="C177" t="s">
        <v>15</v>
      </c>
      <c r="D177" s="5">
        <v>43540</v>
      </c>
      <c r="E177" s="6">
        <v>0.625</v>
      </c>
      <c r="F177" t="s">
        <v>87</v>
      </c>
      <c r="G177" t="s">
        <v>33</v>
      </c>
      <c r="H177" t="s">
        <v>26</v>
      </c>
      <c r="I177" s="7">
        <v>2082</v>
      </c>
      <c r="J177" t="s">
        <v>88</v>
      </c>
      <c r="K177">
        <v>2019</v>
      </c>
      <c r="L177">
        <f>B177</f>
        <v>30</v>
      </c>
      <c r="M177">
        <f>_xlfn.XLOOKUP(J177,Capacities!$A$2:$A$17,Capacities!$B$2:$B$17)</f>
        <v>6007</v>
      </c>
      <c r="N177">
        <f>I177/M177</f>
        <v>0.34659563842184121</v>
      </c>
    </row>
    <row r="178" spans="1:14" x14ac:dyDescent="0.35">
      <c r="A178" t="s">
        <v>74</v>
      </c>
      <c r="B178">
        <v>30</v>
      </c>
      <c r="C178" t="s">
        <v>15</v>
      </c>
      <c r="D178" s="5">
        <v>43540</v>
      </c>
      <c r="E178" s="6">
        <v>0.625</v>
      </c>
      <c r="F178" t="s">
        <v>37</v>
      </c>
      <c r="G178" t="s">
        <v>43</v>
      </c>
      <c r="H178" t="s">
        <v>22</v>
      </c>
      <c r="I178" s="7">
        <v>17184</v>
      </c>
      <c r="J178" t="s">
        <v>40</v>
      </c>
      <c r="K178">
        <v>2019</v>
      </c>
      <c r="L178">
        <f>B178</f>
        <v>30</v>
      </c>
      <c r="M178">
        <f>_xlfn.XLOOKUP(J178,Capacities!$A$2:$A$17,Capacities!$B$2:$B$17)</f>
        <v>20250</v>
      </c>
      <c r="N178">
        <f>I178/M178</f>
        <v>0.84859259259259257</v>
      </c>
    </row>
    <row r="179" spans="1:14" x14ac:dyDescent="0.35">
      <c r="A179" t="s">
        <v>74</v>
      </c>
      <c r="B179">
        <v>30</v>
      </c>
      <c r="C179" t="s">
        <v>15</v>
      </c>
      <c r="D179" s="5">
        <v>43540</v>
      </c>
      <c r="E179" s="6">
        <v>0.625</v>
      </c>
      <c r="F179" t="s">
        <v>34</v>
      </c>
      <c r="G179" t="s">
        <v>21</v>
      </c>
      <c r="H179" t="s">
        <v>32</v>
      </c>
      <c r="I179" s="7">
        <v>49527</v>
      </c>
      <c r="J179" t="s">
        <v>42</v>
      </c>
      <c r="K179">
        <v>2019</v>
      </c>
      <c r="L179">
        <f>B179</f>
        <v>30</v>
      </c>
      <c r="M179">
        <f>_xlfn.XLOOKUP(J179,Capacities!$A$2:$A$17,Capacities!$B$2:$B$17)</f>
        <v>51082</v>
      </c>
      <c r="N179">
        <f>I179/M179</f>
        <v>0.96955874867859515</v>
      </c>
    </row>
    <row r="180" spans="1:14" x14ac:dyDescent="0.35">
      <c r="A180" t="s">
        <v>74</v>
      </c>
      <c r="B180">
        <v>30</v>
      </c>
      <c r="C180" t="s">
        <v>36</v>
      </c>
      <c r="D180" s="5">
        <v>43541</v>
      </c>
      <c r="E180" s="6">
        <v>0.52083333333333337</v>
      </c>
      <c r="F180" t="s">
        <v>20</v>
      </c>
      <c r="G180" t="s">
        <v>52</v>
      </c>
      <c r="H180" t="s">
        <v>16</v>
      </c>
      <c r="I180" s="7">
        <v>7608</v>
      </c>
      <c r="J180" t="s">
        <v>23</v>
      </c>
      <c r="K180">
        <v>2019</v>
      </c>
      <c r="L180">
        <f>B180</f>
        <v>30</v>
      </c>
      <c r="M180">
        <f>_xlfn.XLOOKUP(J180,Capacities!$A$2:$A$17,Capacities!$B$2:$B$17)</f>
        <v>11850</v>
      </c>
      <c r="N180">
        <f>I180/M180</f>
        <v>0.64202531645569616</v>
      </c>
    </row>
    <row r="181" spans="1:14" x14ac:dyDescent="0.35">
      <c r="A181" t="s">
        <v>74</v>
      </c>
      <c r="B181">
        <v>30</v>
      </c>
      <c r="C181" t="s">
        <v>60</v>
      </c>
      <c r="D181" s="5">
        <v>43551</v>
      </c>
      <c r="E181" s="6">
        <v>0.82291666666666663</v>
      </c>
      <c r="F181" t="s">
        <v>24</v>
      </c>
      <c r="G181" t="s">
        <v>33</v>
      </c>
      <c r="H181" t="s">
        <v>39</v>
      </c>
      <c r="I181" s="7">
        <v>2888</v>
      </c>
      <c r="J181" t="s">
        <v>27</v>
      </c>
      <c r="K181">
        <v>2019</v>
      </c>
      <c r="L181">
        <f>B181</f>
        <v>30</v>
      </c>
      <c r="M181">
        <f>_xlfn.XLOOKUP(J181,Capacities!$A$2:$A$17,Capacities!$B$2:$B$17)</f>
        <v>10700</v>
      </c>
      <c r="N181">
        <f>I181/M181</f>
        <v>0.26990654205607478</v>
      </c>
    </row>
    <row r="182" spans="1:14" x14ac:dyDescent="0.35">
      <c r="A182" t="s">
        <v>74</v>
      </c>
      <c r="B182">
        <v>31</v>
      </c>
      <c r="C182" t="s">
        <v>79</v>
      </c>
      <c r="D182" s="5">
        <v>43553</v>
      </c>
      <c r="E182" s="6">
        <v>0.82291666666666663</v>
      </c>
      <c r="F182" t="s">
        <v>28</v>
      </c>
      <c r="G182" t="s">
        <v>55</v>
      </c>
      <c r="H182" t="s">
        <v>37</v>
      </c>
      <c r="I182" s="7">
        <v>4774</v>
      </c>
      <c r="J182" t="s">
        <v>31</v>
      </c>
      <c r="K182">
        <v>2019</v>
      </c>
      <c r="L182">
        <f>B182</f>
        <v>31</v>
      </c>
      <c r="M182">
        <f>_xlfn.XLOOKUP(J182,Capacities!$A$2:$A$17,Capacities!$B$2:$B$17)</f>
        <v>9672</v>
      </c>
      <c r="N182">
        <f>I182/M182</f>
        <v>0.49358974358974361</v>
      </c>
    </row>
    <row r="183" spans="1:14" x14ac:dyDescent="0.35">
      <c r="A183" t="s">
        <v>74</v>
      </c>
      <c r="B183">
        <v>31</v>
      </c>
      <c r="C183" t="s">
        <v>15</v>
      </c>
      <c r="D183" s="5">
        <v>43554</v>
      </c>
      <c r="E183" s="6">
        <v>0.625</v>
      </c>
      <c r="F183" t="s">
        <v>26</v>
      </c>
      <c r="G183" t="s">
        <v>45</v>
      </c>
      <c r="H183" t="s">
        <v>30</v>
      </c>
      <c r="I183" s="7">
        <v>17880</v>
      </c>
      <c r="J183" t="s">
        <v>50</v>
      </c>
      <c r="K183">
        <v>2019</v>
      </c>
      <c r="L183">
        <f>B183</f>
        <v>31</v>
      </c>
      <c r="M183">
        <f>_xlfn.XLOOKUP(J183,Capacities!$A$2:$A$17,Capacities!$B$2:$B$17)</f>
        <v>19852</v>
      </c>
      <c r="N183">
        <f>I183/M183</f>
        <v>0.90066492041104174</v>
      </c>
    </row>
    <row r="184" spans="1:14" x14ac:dyDescent="0.35">
      <c r="A184" t="s">
        <v>74</v>
      </c>
      <c r="B184">
        <v>31</v>
      </c>
      <c r="C184" t="s">
        <v>15</v>
      </c>
      <c r="D184" s="5">
        <v>43554</v>
      </c>
      <c r="E184" s="6">
        <v>0.625</v>
      </c>
      <c r="F184" t="s">
        <v>32</v>
      </c>
      <c r="G184" t="s">
        <v>66</v>
      </c>
      <c r="H184" t="s">
        <v>87</v>
      </c>
      <c r="I184" s="7">
        <v>4762</v>
      </c>
      <c r="J184" t="s">
        <v>86</v>
      </c>
      <c r="K184">
        <v>2019</v>
      </c>
      <c r="L184">
        <f>B184</f>
        <v>31</v>
      </c>
      <c r="M184">
        <f>_xlfn.XLOOKUP(J184,Capacities!$A$2:$A$17,Capacities!$B$2:$B$17)</f>
        <v>15003</v>
      </c>
      <c r="N184">
        <f>I184/M184</f>
        <v>0.31740318602946077</v>
      </c>
    </row>
    <row r="185" spans="1:14" x14ac:dyDescent="0.35">
      <c r="A185" t="s">
        <v>74</v>
      </c>
      <c r="B185">
        <v>31</v>
      </c>
      <c r="C185" t="s">
        <v>15</v>
      </c>
      <c r="D185" s="5">
        <v>43554</v>
      </c>
      <c r="E185" s="6">
        <v>0.625</v>
      </c>
      <c r="F185" t="s">
        <v>22</v>
      </c>
      <c r="G185" t="s">
        <v>53</v>
      </c>
      <c r="H185" t="s">
        <v>24</v>
      </c>
      <c r="I185" s="7">
        <v>4083</v>
      </c>
      <c r="J185" t="s">
        <v>49</v>
      </c>
      <c r="K185">
        <v>2019</v>
      </c>
      <c r="L185">
        <f>B185</f>
        <v>31</v>
      </c>
      <c r="M185">
        <f>_xlfn.XLOOKUP(J185,Capacities!$A$2:$A$17,Capacities!$B$2:$B$17)</f>
        <v>13750</v>
      </c>
      <c r="N185">
        <f>I185/M185</f>
        <v>0.29694545454545457</v>
      </c>
    </row>
    <row r="186" spans="1:14" x14ac:dyDescent="0.35">
      <c r="A186" t="s">
        <v>74</v>
      </c>
      <c r="B186">
        <v>31</v>
      </c>
      <c r="C186" t="s">
        <v>15</v>
      </c>
      <c r="D186" s="5">
        <v>43554</v>
      </c>
      <c r="E186" s="6">
        <v>0.625</v>
      </c>
      <c r="F186" t="s">
        <v>39</v>
      </c>
      <c r="G186" t="s">
        <v>45</v>
      </c>
      <c r="H186" t="s">
        <v>20</v>
      </c>
      <c r="I186" s="7">
        <v>6733</v>
      </c>
      <c r="J186" t="s">
        <v>46</v>
      </c>
      <c r="K186">
        <v>2019</v>
      </c>
      <c r="L186">
        <f>B186</f>
        <v>31</v>
      </c>
      <c r="M186">
        <f>_xlfn.XLOOKUP(J186,Capacities!$A$2:$A$17,Capacities!$B$2:$B$17)</f>
        <v>8006</v>
      </c>
      <c r="N186">
        <f>I186/M186</f>
        <v>0.840994254309268</v>
      </c>
    </row>
    <row r="187" spans="1:14" x14ac:dyDescent="0.35">
      <c r="A187" t="s">
        <v>74</v>
      </c>
      <c r="B187">
        <v>31</v>
      </c>
      <c r="C187" t="s">
        <v>36</v>
      </c>
      <c r="D187" s="5">
        <v>43555</v>
      </c>
      <c r="E187" s="6">
        <v>0.5</v>
      </c>
      <c r="F187" t="s">
        <v>16</v>
      </c>
      <c r="G187" t="s">
        <v>45</v>
      </c>
      <c r="H187" t="s">
        <v>34</v>
      </c>
      <c r="I187" s="7">
        <v>58773</v>
      </c>
      <c r="J187" t="s">
        <v>19</v>
      </c>
      <c r="K187">
        <v>2019</v>
      </c>
      <c r="L187">
        <f>B187</f>
        <v>31</v>
      </c>
      <c r="M187">
        <f>_xlfn.XLOOKUP(J187,Capacities!$A$2:$A$17,Capacities!$B$2:$B$17)</f>
        <v>60500</v>
      </c>
      <c r="N187">
        <f>I187/M187</f>
        <v>0.97145454545454546</v>
      </c>
    </row>
    <row r="188" spans="1:14" x14ac:dyDescent="0.35">
      <c r="A188" t="s">
        <v>74</v>
      </c>
      <c r="B188">
        <v>32</v>
      </c>
      <c r="C188" t="s">
        <v>60</v>
      </c>
      <c r="D188" s="5">
        <v>43558</v>
      </c>
      <c r="E188" s="6">
        <v>0.82291666666666663</v>
      </c>
      <c r="F188" t="s">
        <v>30</v>
      </c>
      <c r="G188" t="s">
        <v>56</v>
      </c>
      <c r="H188" t="s">
        <v>22</v>
      </c>
      <c r="I188" s="7">
        <v>13228</v>
      </c>
      <c r="J188" t="s">
        <v>48</v>
      </c>
      <c r="K188">
        <v>2019</v>
      </c>
      <c r="L188">
        <f>B188</f>
        <v>32</v>
      </c>
      <c r="M188">
        <f>_xlfn.XLOOKUP(J188,Capacities!$A$2:$A$17,Capacities!$B$2:$B$17)</f>
        <v>21412</v>
      </c>
      <c r="N188">
        <f>I188/M188</f>
        <v>0.61778441995142908</v>
      </c>
    </row>
    <row r="189" spans="1:14" x14ac:dyDescent="0.35">
      <c r="A189" t="s">
        <v>74</v>
      </c>
      <c r="B189">
        <v>32</v>
      </c>
      <c r="C189" t="s">
        <v>60</v>
      </c>
      <c r="D189" s="5">
        <v>43558</v>
      </c>
      <c r="E189" s="6">
        <v>0.82291666666666663</v>
      </c>
      <c r="F189" t="s">
        <v>37</v>
      </c>
      <c r="G189" t="s">
        <v>29</v>
      </c>
      <c r="H189" t="s">
        <v>32</v>
      </c>
      <c r="I189" s="7">
        <v>16588</v>
      </c>
      <c r="J189" t="s">
        <v>40</v>
      </c>
      <c r="K189">
        <v>2019</v>
      </c>
      <c r="L189">
        <f>B189</f>
        <v>32</v>
      </c>
      <c r="M189">
        <f>_xlfn.XLOOKUP(J189,Capacities!$A$2:$A$17,Capacities!$B$2:$B$17)</f>
        <v>20250</v>
      </c>
      <c r="N189">
        <f>I189/M189</f>
        <v>0.8191604938271605</v>
      </c>
    </row>
    <row r="190" spans="1:14" x14ac:dyDescent="0.35">
      <c r="A190" t="s">
        <v>74</v>
      </c>
      <c r="B190">
        <v>32</v>
      </c>
      <c r="C190" t="s">
        <v>60</v>
      </c>
      <c r="D190" s="5">
        <v>43558</v>
      </c>
      <c r="E190" s="6">
        <v>0.82291666666666663</v>
      </c>
      <c r="F190" t="s">
        <v>28</v>
      </c>
      <c r="G190" t="s">
        <v>43</v>
      </c>
      <c r="H190" t="s">
        <v>87</v>
      </c>
      <c r="I190" s="7">
        <v>1022</v>
      </c>
      <c r="J190" t="s">
        <v>31</v>
      </c>
      <c r="K190">
        <v>2019</v>
      </c>
      <c r="L190">
        <f>B190</f>
        <v>32</v>
      </c>
      <c r="M190">
        <f>_xlfn.XLOOKUP(J190,Capacities!$A$2:$A$17,Capacities!$B$2:$B$17)</f>
        <v>9672</v>
      </c>
      <c r="N190">
        <f>I190/M190</f>
        <v>0.10566583953680728</v>
      </c>
    </row>
    <row r="191" spans="1:14" x14ac:dyDescent="0.35">
      <c r="A191" t="s">
        <v>74</v>
      </c>
      <c r="B191">
        <v>32</v>
      </c>
      <c r="C191" t="s">
        <v>60</v>
      </c>
      <c r="D191" s="5">
        <v>43558</v>
      </c>
      <c r="E191" s="6">
        <v>0.82291666666666663</v>
      </c>
      <c r="F191" t="s">
        <v>34</v>
      </c>
      <c r="G191" t="s">
        <v>53</v>
      </c>
      <c r="H191" t="s">
        <v>26</v>
      </c>
      <c r="I191" s="7">
        <v>49702</v>
      </c>
      <c r="J191" t="s">
        <v>42</v>
      </c>
      <c r="K191">
        <v>2019</v>
      </c>
      <c r="L191">
        <f>B191</f>
        <v>32</v>
      </c>
      <c r="M191">
        <f>_xlfn.XLOOKUP(J191,Capacities!$A$2:$A$17,Capacities!$B$2:$B$17)</f>
        <v>51082</v>
      </c>
      <c r="N191">
        <f>I191/M191</f>
        <v>0.97298461297521632</v>
      </c>
    </row>
    <row r="192" spans="1:14" x14ac:dyDescent="0.35">
      <c r="A192" t="s">
        <v>74</v>
      </c>
      <c r="B192">
        <v>32</v>
      </c>
      <c r="C192" t="s">
        <v>60</v>
      </c>
      <c r="D192" s="5">
        <v>43558</v>
      </c>
      <c r="E192" s="6">
        <v>0.82291666666666663</v>
      </c>
      <c r="F192" t="s">
        <v>24</v>
      </c>
      <c r="G192" t="s">
        <v>43</v>
      </c>
      <c r="H192" t="s">
        <v>20</v>
      </c>
      <c r="I192" s="7">
        <v>3767</v>
      </c>
      <c r="J192" t="s">
        <v>27</v>
      </c>
      <c r="K192">
        <v>2019</v>
      </c>
      <c r="L192">
        <f>B192</f>
        <v>32</v>
      </c>
      <c r="M192">
        <f>_xlfn.XLOOKUP(J192,Capacities!$A$2:$A$17,Capacities!$B$2:$B$17)</f>
        <v>10700</v>
      </c>
      <c r="N192">
        <f>I192/M192</f>
        <v>0.35205607476635514</v>
      </c>
    </row>
    <row r="193" spans="1:14" x14ac:dyDescent="0.35">
      <c r="A193" t="s">
        <v>74</v>
      </c>
      <c r="B193">
        <v>32</v>
      </c>
      <c r="C193" t="s">
        <v>60</v>
      </c>
      <c r="D193" s="5">
        <v>43558</v>
      </c>
      <c r="E193" s="6">
        <v>0.82291666666666663</v>
      </c>
      <c r="F193" t="s">
        <v>39</v>
      </c>
      <c r="G193" t="s">
        <v>25</v>
      </c>
      <c r="H193" t="s">
        <v>16</v>
      </c>
      <c r="I193" s="7">
        <v>6597</v>
      </c>
      <c r="J193" t="s">
        <v>46</v>
      </c>
      <c r="K193">
        <v>2019</v>
      </c>
      <c r="L193">
        <f>B193</f>
        <v>32</v>
      </c>
      <c r="M193">
        <f>_xlfn.XLOOKUP(J193,Capacities!$A$2:$A$17,Capacities!$B$2:$B$17)</f>
        <v>8006</v>
      </c>
      <c r="N193">
        <f>I193/M193</f>
        <v>0.82400699475393457</v>
      </c>
    </row>
    <row r="194" spans="1:14" x14ac:dyDescent="0.35">
      <c r="A194" t="s">
        <v>74</v>
      </c>
      <c r="B194">
        <v>33</v>
      </c>
      <c r="C194" t="s">
        <v>15</v>
      </c>
      <c r="D194" s="5">
        <v>43561</v>
      </c>
      <c r="E194" s="6">
        <v>0.52083333333333337</v>
      </c>
      <c r="F194" t="s">
        <v>26</v>
      </c>
      <c r="G194" t="s">
        <v>55</v>
      </c>
      <c r="H194" t="s">
        <v>37</v>
      </c>
      <c r="I194" s="7">
        <v>19667</v>
      </c>
      <c r="J194" t="s">
        <v>50</v>
      </c>
      <c r="K194">
        <v>2019</v>
      </c>
      <c r="L194">
        <f>B194</f>
        <v>33</v>
      </c>
      <c r="M194">
        <f>_xlfn.XLOOKUP(J194,Capacities!$A$2:$A$17,Capacities!$B$2:$B$17)</f>
        <v>19852</v>
      </c>
      <c r="N194">
        <f>I194/M194</f>
        <v>0.99068103969373367</v>
      </c>
    </row>
    <row r="195" spans="1:14" x14ac:dyDescent="0.35">
      <c r="A195" t="s">
        <v>74</v>
      </c>
      <c r="B195">
        <v>33</v>
      </c>
      <c r="C195" t="s">
        <v>15</v>
      </c>
      <c r="D195" s="5">
        <v>43561</v>
      </c>
      <c r="E195" s="6">
        <v>0.625</v>
      </c>
      <c r="F195" t="s">
        <v>16</v>
      </c>
      <c r="G195" t="s">
        <v>29</v>
      </c>
      <c r="H195" t="s">
        <v>28</v>
      </c>
      <c r="I195" s="7">
        <v>58850</v>
      </c>
      <c r="J195" t="s">
        <v>19</v>
      </c>
      <c r="K195">
        <v>2019</v>
      </c>
      <c r="L195">
        <f>B195</f>
        <v>33</v>
      </c>
      <c r="M195">
        <f>_xlfn.XLOOKUP(J195,Capacities!$A$2:$A$17,Capacities!$B$2:$B$17)</f>
        <v>60500</v>
      </c>
      <c r="N195">
        <f>I195/M195</f>
        <v>0.97272727272727277</v>
      </c>
    </row>
    <row r="196" spans="1:14" x14ac:dyDescent="0.35">
      <c r="A196" t="s">
        <v>74</v>
      </c>
      <c r="B196">
        <v>33</v>
      </c>
      <c r="C196" t="s">
        <v>15</v>
      </c>
      <c r="D196" s="5">
        <v>43561</v>
      </c>
      <c r="E196" s="6">
        <v>0.625</v>
      </c>
      <c r="F196" t="s">
        <v>20</v>
      </c>
      <c r="G196" t="s">
        <v>25</v>
      </c>
      <c r="H196" t="s">
        <v>30</v>
      </c>
      <c r="I196" s="7">
        <v>6593</v>
      </c>
      <c r="J196" t="s">
        <v>23</v>
      </c>
      <c r="K196">
        <v>2019</v>
      </c>
      <c r="L196">
        <f>B196</f>
        <v>33</v>
      </c>
      <c r="M196">
        <f>_xlfn.XLOOKUP(J196,Capacities!$A$2:$A$17,Capacities!$B$2:$B$17)</f>
        <v>11850</v>
      </c>
      <c r="N196">
        <f>I196/M196</f>
        <v>0.55637130801687762</v>
      </c>
    </row>
    <row r="197" spans="1:14" x14ac:dyDescent="0.35">
      <c r="A197" t="s">
        <v>74</v>
      </c>
      <c r="B197">
        <v>33</v>
      </c>
      <c r="C197" t="s">
        <v>15</v>
      </c>
      <c r="D197" s="5">
        <v>43561</v>
      </c>
      <c r="E197" s="6">
        <v>0.625</v>
      </c>
      <c r="F197" t="s">
        <v>87</v>
      </c>
      <c r="G197" t="s">
        <v>21</v>
      </c>
      <c r="H197" t="s">
        <v>39</v>
      </c>
      <c r="I197" s="7">
        <v>3096</v>
      </c>
      <c r="J197" t="s">
        <v>88</v>
      </c>
      <c r="K197">
        <v>2019</v>
      </c>
      <c r="L197">
        <f>B197</f>
        <v>33</v>
      </c>
      <c r="M197">
        <f>_xlfn.XLOOKUP(J197,Capacities!$A$2:$A$17,Capacities!$B$2:$B$17)</f>
        <v>6007</v>
      </c>
      <c r="N197">
        <f>I197/M197</f>
        <v>0.5153987015148993</v>
      </c>
    </row>
    <row r="198" spans="1:14" x14ac:dyDescent="0.35">
      <c r="A198" t="s">
        <v>74</v>
      </c>
      <c r="B198">
        <v>33</v>
      </c>
      <c r="C198" t="s">
        <v>15</v>
      </c>
      <c r="D198" s="5">
        <v>43561</v>
      </c>
      <c r="E198" s="6">
        <v>0.625</v>
      </c>
      <c r="F198" t="s">
        <v>32</v>
      </c>
      <c r="G198" t="s">
        <v>43</v>
      </c>
      <c r="H198" t="s">
        <v>24</v>
      </c>
      <c r="I198" s="7">
        <v>4685</v>
      </c>
      <c r="J198" t="s">
        <v>86</v>
      </c>
      <c r="K198">
        <v>2019</v>
      </c>
      <c r="L198">
        <f>B198</f>
        <v>33</v>
      </c>
      <c r="M198">
        <f>_xlfn.XLOOKUP(J198,Capacities!$A$2:$A$17,Capacities!$B$2:$B$17)</f>
        <v>15003</v>
      </c>
      <c r="N198">
        <f>I198/M198</f>
        <v>0.31227087915750185</v>
      </c>
    </row>
    <row r="199" spans="1:14" x14ac:dyDescent="0.35">
      <c r="A199" t="s">
        <v>74</v>
      </c>
      <c r="B199">
        <v>33</v>
      </c>
      <c r="C199" t="s">
        <v>36</v>
      </c>
      <c r="D199" s="5">
        <v>43562</v>
      </c>
      <c r="E199" s="6">
        <v>0.52083333333333337</v>
      </c>
      <c r="F199" t="s">
        <v>22</v>
      </c>
      <c r="G199" t="s">
        <v>54</v>
      </c>
      <c r="H199" t="s">
        <v>34</v>
      </c>
      <c r="I199" s="7">
        <v>9200</v>
      </c>
      <c r="J199" t="s">
        <v>49</v>
      </c>
      <c r="K199">
        <v>2019</v>
      </c>
      <c r="L199">
        <f>B199</f>
        <v>33</v>
      </c>
      <c r="M199">
        <f>_xlfn.XLOOKUP(J199,Capacities!$A$2:$A$17,Capacities!$B$2:$B$17)</f>
        <v>13750</v>
      </c>
      <c r="N199">
        <f>I199/M199</f>
        <v>0.66909090909090907</v>
      </c>
    </row>
    <row r="200" spans="1:14" x14ac:dyDescent="0.35">
      <c r="A200" t="s">
        <v>83</v>
      </c>
      <c r="B200">
        <v>1</v>
      </c>
      <c r="C200" t="s">
        <v>15</v>
      </c>
      <c r="D200" s="5">
        <v>43575</v>
      </c>
      <c r="E200" s="6">
        <v>0.5</v>
      </c>
      <c r="F200" t="s">
        <v>26</v>
      </c>
      <c r="G200" t="s">
        <v>47</v>
      </c>
      <c r="H200" t="s">
        <v>34</v>
      </c>
      <c r="I200" s="7">
        <v>18212</v>
      </c>
      <c r="J200" t="s">
        <v>50</v>
      </c>
      <c r="K200">
        <v>2019</v>
      </c>
      <c r="L200">
        <f>B200+33</f>
        <v>34</v>
      </c>
      <c r="M200">
        <f>_xlfn.XLOOKUP(J200,Capacities!$A$2:$A$17,Capacities!$B$2:$B$17)</f>
        <v>19852</v>
      </c>
      <c r="N200">
        <f>I200/M200</f>
        <v>0.91738867620390896</v>
      </c>
    </row>
    <row r="201" spans="1:14" x14ac:dyDescent="0.35">
      <c r="A201" t="s">
        <v>84</v>
      </c>
      <c r="B201">
        <v>1</v>
      </c>
      <c r="C201" t="s">
        <v>15</v>
      </c>
      <c r="D201" s="5">
        <v>43575</v>
      </c>
      <c r="E201" s="6">
        <v>0.625</v>
      </c>
      <c r="F201" t="s">
        <v>87</v>
      </c>
      <c r="G201" t="s">
        <v>21</v>
      </c>
      <c r="H201" t="s">
        <v>22</v>
      </c>
      <c r="I201" s="7">
        <v>2746</v>
      </c>
      <c r="J201" t="s">
        <v>88</v>
      </c>
      <c r="K201">
        <v>2019</v>
      </c>
      <c r="L201">
        <f>B201+33</f>
        <v>34</v>
      </c>
      <c r="M201">
        <f>_xlfn.XLOOKUP(J201,Capacities!$A$2:$A$17,Capacities!$B$2:$B$17)</f>
        <v>6007</v>
      </c>
      <c r="N201">
        <f>I201/M201</f>
        <v>0.45713334443149661</v>
      </c>
    </row>
    <row r="202" spans="1:14" x14ac:dyDescent="0.35">
      <c r="A202" t="s">
        <v>83</v>
      </c>
      <c r="B202">
        <v>1</v>
      </c>
      <c r="C202" t="s">
        <v>15</v>
      </c>
      <c r="D202" s="5">
        <v>43575</v>
      </c>
      <c r="E202" s="6">
        <v>0.625</v>
      </c>
      <c r="F202" t="s">
        <v>32</v>
      </c>
      <c r="G202" t="s">
        <v>52</v>
      </c>
      <c r="H202" t="s">
        <v>30</v>
      </c>
      <c r="I202" s="7">
        <v>6531</v>
      </c>
      <c r="J202" t="s">
        <v>86</v>
      </c>
      <c r="K202">
        <v>2019</v>
      </c>
      <c r="L202">
        <f>B202+33</f>
        <v>34</v>
      </c>
      <c r="M202">
        <f>_xlfn.XLOOKUP(J202,Capacities!$A$2:$A$17,Capacities!$B$2:$B$17)</f>
        <v>15003</v>
      </c>
      <c r="N202">
        <f>I202/M202</f>
        <v>0.43531293741251748</v>
      </c>
    </row>
    <row r="203" spans="1:14" x14ac:dyDescent="0.35">
      <c r="A203" t="s">
        <v>84</v>
      </c>
      <c r="B203">
        <v>1</v>
      </c>
      <c r="C203" t="s">
        <v>15</v>
      </c>
      <c r="D203" s="5">
        <v>43575</v>
      </c>
      <c r="E203" s="6">
        <v>0.625</v>
      </c>
      <c r="F203" t="s">
        <v>28</v>
      </c>
      <c r="G203" t="s">
        <v>47</v>
      </c>
      <c r="H203" t="s">
        <v>39</v>
      </c>
      <c r="I203" s="7">
        <v>2347</v>
      </c>
      <c r="J203" t="s">
        <v>31</v>
      </c>
      <c r="K203">
        <v>2019</v>
      </c>
      <c r="L203">
        <f>B203+33</f>
        <v>34</v>
      </c>
      <c r="M203">
        <f>_xlfn.XLOOKUP(J203,Capacities!$A$2:$A$17,Capacities!$B$2:$B$17)</f>
        <v>9672</v>
      </c>
      <c r="N203">
        <f>I203/M203</f>
        <v>0.24265922249793218</v>
      </c>
    </row>
    <row r="204" spans="1:14" x14ac:dyDescent="0.35">
      <c r="A204" t="s">
        <v>84</v>
      </c>
      <c r="B204">
        <v>1</v>
      </c>
      <c r="C204" t="s">
        <v>15</v>
      </c>
      <c r="D204" s="5">
        <v>43575</v>
      </c>
      <c r="E204" s="6">
        <v>0.625</v>
      </c>
      <c r="F204" t="s">
        <v>24</v>
      </c>
      <c r="G204" t="s">
        <v>43</v>
      </c>
      <c r="H204" t="s">
        <v>20</v>
      </c>
      <c r="I204" s="7">
        <v>3946</v>
      </c>
      <c r="J204" t="s">
        <v>27</v>
      </c>
      <c r="K204">
        <v>2019</v>
      </c>
      <c r="L204">
        <f>B204+33</f>
        <v>34</v>
      </c>
      <c r="M204">
        <f>_xlfn.XLOOKUP(J204,Capacities!$A$2:$A$17,Capacities!$B$2:$B$17)</f>
        <v>10700</v>
      </c>
      <c r="N204">
        <f>I204/M204</f>
        <v>0.36878504672897194</v>
      </c>
    </row>
    <row r="205" spans="1:14" x14ac:dyDescent="0.35">
      <c r="A205" t="s">
        <v>83</v>
      </c>
      <c r="B205">
        <v>1</v>
      </c>
      <c r="C205" t="s">
        <v>36</v>
      </c>
      <c r="D205" s="5">
        <v>43576</v>
      </c>
      <c r="E205" s="6">
        <v>0.52083333333333337</v>
      </c>
      <c r="F205" t="s">
        <v>37</v>
      </c>
      <c r="G205" t="s">
        <v>29</v>
      </c>
      <c r="H205" t="s">
        <v>16</v>
      </c>
      <c r="I205" s="7">
        <v>19472</v>
      </c>
      <c r="J205" t="s">
        <v>40</v>
      </c>
      <c r="K205">
        <v>2019</v>
      </c>
      <c r="L205">
        <f>B205+33</f>
        <v>34</v>
      </c>
      <c r="M205">
        <f>_xlfn.XLOOKUP(J205,Capacities!$A$2:$A$17,Capacities!$B$2:$B$17)</f>
        <v>20250</v>
      </c>
      <c r="N205">
        <f>I205/M205</f>
        <v>0.96158024691358024</v>
      </c>
    </row>
    <row r="206" spans="1:14" x14ac:dyDescent="0.35">
      <c r="A206" t="s">
        <v>83</v>
      </c>
      <c r="B206">
        <v>2</v>
      </c>
      <c r="C206" t="s">
        <v>15</v>
      </c>
      <c r="D206" s="5">
        <v>43582</v>
      </c>
      <c r="E206" s="6">
        <v>0.52083333333333337</v>
      </c>
      <c r="F206" t="s">
        <v>16</v>
      </c>
      <c r="G206" t="s">
        <v>33</v>
      </c>
      <c r="H206" t="s">
        <v>32</v>
      </c>
      <c r="I206" s="7">
        <v>58851</v>
      </c>
      <c r="J206" t="s">
        <v>19</v>
      </c>
      <c r="K206">
        <v>2019</v>
      </c>
      <c r="L206">
        <f>B206+33</f>
        <v>35</v>
      </c>
      <c r="M206">
        <f>_xlfn.XLOOKUP(J206,Capacities!$A$2:$A$17,Capacities!$B$2:$B$17)</f>
        <v>60500</v>
      </c>
      <c r="N206">
        <f>I206/M206</f>
        <v>0.97274380165289254</v>
      </c>
    </row>
    <row r="207" spans="1:14" x14ac:dyDescent="0.35">
      <c r="A207" t="s">
        <v>84</v>
      </c>
      <c r="B207">
        <v>2</v>
      </c>
      <c r="C207" t="s">
        <v>15</v>
      </c>
      <c r="D207" s="5">
        <v>43582</v>
      </c>
      <c r="E207" s="6">
        <v>0.625</v>
      </c>
      <c r="F207" t="s">
        <v>87</v>
      </c>
      <c r="G207" t="s">
        <v>59</v>
      </c>
      <c r="H207" t="s">
        <v>28</v>
      </c>
      <c r="I207" s="7">
        <v>1135</v>
      </c>
      <c r="J207" t="s">
        <v>88</v>
      </c>
      <c r="K207">
        <v>2019</v>
      </c>
      <c r="L207">
        <f>B207+33</f>
        <v>35</v>
      </c>
      <c r="M207">
        <f>_xlfn.XLOOKUP(J207,Capacities!$A$2:$A$17,Capacities!$B$2:$B$17)</f>
        <v>6007</v>
      </c>
      <c r="N207">
        <f>I207/M207</f>
        <v>0.18894622939903447</v>
      </c>
    </row>
    <row r="208" spans="1:14" x14ac:dyDescent="0.35">
      <c r="A208" t="s">
        <v>84</v>
      </c>
      <c r="B208">
        <v>2</v>
      </c>
      <c r="C208" t="s">
        <v>15</v>
      </c>
      <c r="D208" s="5">
        <v>43582</v>
      </c>
      <c r="E208" s="6">
        <v>0.625</v>
      </c>
      <c r="F208" t="s">
        <v>22</v>
      </c>
      <c r="G208" t="s">
        <v>90</v>
      </c>
      <c r="H208" t="s">
        <v>20</v>
      </c>
      <c r="I208" s="7">
        <v>3662</v>
      </c>
      <c r="J208" t="s">
        <v>49</v>
      </c>
      <c r="K208">
        <v>2019</v>
      </c>
      <c r="L208">
        <f>B208+33</f>
        <v>35</v>
      </c>
      <c r="M208">
        <f>_xlfn.XLOOKUP(J208,Capacities!$A$2:$A$17,Capacities!$B$2:$B$17)</f>
        <v>13750</v>
      </c>
      <c r="N208">
        <f>I208/M208</f>
        <v>0.26632727272727275</v>
      </c>
    </row>
    <row r="209" spans="1:14" x14ac:dyDescent="0.35">
      <c r="A209" t="s">
        <v>84</v>
      </c>
      <c r="B209">
        <v>2</v>
      </c>
      <c r="C209" t="s">
        <v>15</v>
      </c>
      <c r="D209" s="5">
        <v>43582</v>
      </c>
      <c r="E209" s="6">
        <v>0.625</v>
      </c>
      <c r="F209" t="s">
        <v>39</v>
      </c>
      <c r="G209" t="s">
        <v>21</v>
      </c>
      <c r="H209" t="s">
        <v>24</v>
      </c>
      <c r="I209" s="7">
        <v>5213</v>
      </c>
      <c r="J209" t="s">
        <v>46</v>
      </c>
      <c r="K209">
        <v>2019</v>
      </c>
      <c r="L209">
        <f>B209+33</f>
        <v>35</v>
      </c>
      <c r="M209">
        <f>_xlfn.XLOOKUP(J209,Capacities!$A$2:$A$17,Capacities!$B$2:$B$17)</f>
        <v>8006</v>
      </c>
      <c r="N209">
        <f>I209/M209</f>
        <v>0.65113664751436418</v>
      </c>
    </row>
    <row r="210" spans="1:14" x14ac:dyDescent="0.35">
      <c r="A210" t="s">
        <v>83</v>
      </c>
      <c r="B210">
        <v>2</v>
      </c>
      <c r="C210" t="s">
        <v>36</v>
      </c>
      <c r="D210" s="5">
        <v>43583</v>
      </c>
      <c r="E210" s="6">
        <v>0.51041666666666663</v>
      </c>
      <c r="F210" t="s">
        <v>37</v>
      </c>
      <c r="G210" t="s">
        <v>21</v>
      </c>
      <c r="H210" t="s">
        <v>26</v>
      </c>
      <c r="I210" s="7">
        <v>19395</v>
      </c>
      <c r="J210" t="s">
        <v>40</v>
      </c>
      <c r="K210">
        <v>2019</v>
      </c>
      <c r="L210">
        <f>B210+33</f>
        <v>35</v>
      </c>
      <c r="M210">
        <f>_xlfn.XLOOKUP(J210,Capacities!$A$2:$A$17,Capacities!$B$2:$B$17)</f>
        <v>20250</v>
      </c>
      <c r="N210">
        <f>I210/M210</f>
        <v>0.95777777777777773</v>
      </c>
    </row>
    <row r="211" spans="1:14" x14ac:dyDescent="0.35">
      <c r="A211" t="s">
        <v>83</v>
      </c>
      <c r="B211">
        <v>2</v>
      </c>
      <c r="C211" t="s">
        <v>36</v>
      </c>
      <c r="D211" s="5">
        <v>43583</v>
      </c>
      <c r="E211" s="6">
        <v>0.625</v>
      </c>
      <c r="F211" t="s">
        <v>34</v>
      </c>
      <c r="G211" t="s">
        <v>43</v>
      </c>
      <c r="H211" t="s">
        <v>30</v>
      </c>
      <c r="I211" s="7">
        <v>49667</v>
      </c>
      <c r="J211" t="s">
        <v>42</v>
      </c>
      <c r="K211">
        <v>2019</v>
      </c>
      <c r="L211">
        <f>B211+33</f>
        <v>35</v>
      </c>
      <c r="M211">
        <f>_xlfn.XLOOKUP(J211,Capacities!$A$2:$A$17,Capacities!$B$2:$B$17)</f>
        <v>51082</v>
      </c>
      <c r="N211">
        <f>I211/M211</f>
        <v>0.97229944011589209</v>
      </c>
    </row>
    <row r="212" spans="1:14" x14ac:dyDescent="0.35">
      <c r="A212" t="s">
        <v>83</v>
      </c>
      <c r="B212">
        <v>3</v>
      </c>
      <c r="C212" t="s">
        <v>15</v>
      </c>
      <c r="D212" s="5">
        <v>43589</v>
      </c>
      <c r="E212" s="6">
        <v>0.52083333333333337</v>
      </c>
      <c r="F212" t="s">
        <v>30</v>
      </c>
      <c r="G212" t="s">
        <v>54</v>
      </c>
      <c r="H212" t="s">
        <v>16</v>
      </c>
      <c r="I212" s="7">
        <v>15189</v>
      </c>
      <c r="J212" t="s">
        <v>48</v>
      </c>
      <c r="K212">
        <v>2019</v>
      </c>
      <c r="L212">
        <f>B212+33</f>
        <v>36</v>
      </c>
      <c r="M212">
        <f>_xlfn.XLOOKUP(J212,Capacities!$A$2:$A$17,Capacities!$B$2:$B$17)</f>
        <v>21412</v>
      </c>
      <c r="N212">
        <f>I212/M212</f>
        <v>0.70936857836727074</v>
      </c>
    </row>
    <row r="213" spans="1:14" x14ac:dyDescent="0.35">
      <c r="A213" t="s">
        <v>84</v>
      </c>
      <c r="B213">
        <v>3</v>
      </c>
      <c r="C213" t="s">
        <v>15</v>
      </c>
      <c r="D213" s="5">
        <v>43589</v>
      </c>
      <c r="E213" s="6">
        <v>0.625</v>
      </c>
      <c r="F213" t="s">
        <v>20</v>
      </c>
      <c r="G213" t="s">
        <v>52</v>
      </c>
      <c r="H213" t="s">
        <v>87</v>
      </c>
      <c r="I213" s="7">
        <v>4622</v>
      </c>
      <c r="J213" t="s">
        <v>23</v>
      </c>
      <c r="K213">
        <v>2019</v>
      </c>
      <c r="L213">
        <f>B213+33</f>
        <v>36</v>
      </c>
      <c r="M213">
        <f>_xlfn.XLOOKUP(J213,Capacities!$A$2:$A$17,Capacities!$B$2:$B$17)</f>
        <v>11850</v>
      </c>
      <c r="N213">
        <f>I213/M213</f>
        <v>0.39004219409282698</v>
      </c>
    </row>
    <row r="214" spans="1:14" x14ac:dyDescent="0.35">
      <c r="A214" t="s">
        <v>83</v>
      </c>
      <c r="B214">
        <v>3</v>
      </c>
      <c r="C214" t="s">
        <v>15</v>
      </c>
      <c r="D214" s="5">
        <v>43589</v>
      </c>
      <c r="E214" s="6">
        <v>0.625</v>
      </c>
      <c r="F214" t="s">
        <v>26</v>
      </c>
      <c r="G214" t="s">
        <v>52</v>
      </c>
      <c r="H214" t="s">
        <v>32</v>
      </c>
      <c r="I214" s="7">
        <v>17103</v>
      </c>
      <c r="J214" t="s">
        <v>50</v>
      </c>
      <c r="K214">
        <v>2019</v>
      </c>
      <c r="L214">
        <f>B214+33</f>
        <v>36</v>
      </c>
      <c r="M214">
        <f>_xlfn.XLOOKUP(J214,Capacities!$A$2:$A$17,Capacities!$B$2:$B$17)</f>
        <v>19852</v>
      </c>
      <c r="N214">
        <f>I214/M214</f>
        <v>0.86152528712472298</v>
      </c>
    </row>
    <row r="215" spans="1:14" x14ac:dyDescent="0.35">
      <c r="A215" t="s">
        <v>84</v>
      </c>
      <c r="B215">
        <v>3</v>
      </c>
      <c r="C215" t="s">
        <v>15</v>
      </c>
      <c r="D215" s="5">
        <v>43589</v>
      </c>
      <c r="E215" s="6">
        <v>0.625</v>
      </c>
      <c r="F215" t="s">
        <v>22</v>
      </c>
      <c r="G215" t="s">
        <v>21</v>
      </c>
      <c r="H215" t="s">
        <v>39</v>
      </c>
      <c r="I215" s="7">
        <v>5274</v>
      </c>
      <c r="J215" t="s">
        <v>49</v>
      </c>
      <c r="K215">
        <v>2019</v>
      </c>
      <c r="L215">
        <f>B215+33</f>
        <v>36</v>
      </c>
      <c r="M215">
        <f>_xlfn.XLOOKUP(J215,Capacities!$A$2:$A$17,Capacities!$B$2:$B$17)</f>
        <v>13750</v>
      </c>
      <c r="N215">
        <f>I215/M215</f>
        <v>0.38356363636363638</v>
      </c>
    </row>
    <row r="216" spans="1:14" x14ac:dyDescent="0.35">
      <c r="A216" t="s">
        <v>84</v>
      </c>
      <c r="B216">
        <v>3</v>
      </c>
      <c r="C216" t="s">
        <v>15</v>
      </c>
      <c r="D216" s="5">
        <v>43589</v>
      </c>
      <c r="E216" s="6">
        <v>0.625</v>
      </c>
      <c r="F216" t="s">
        <v>24</v>
      </c>
      <c r="G216" t="s">
        <v>21</v>
      </c>
      <c r="H216" t="s">
        <v>28</v>
      </c>
      <c r="I216" s="7">
        <v>2222</v>
      </c>
      <c r="J216" t="s">
        <v>27</v>
      </c>
      <c r="K216">
        <v>2019</v>
      </c>
      <c r="L216">
        <f>B216+33</f>
        <v>36</v>
      </c>
      <c r="M216">
        <f>_xlfn.XLOOKUP(J216,Capacities!$A$2:$A$17,Capacities!$B$2:$B$17)</f>
        <v>10700</v>
      </c>
      <c r="N216">
        <f>I216/M216</f>
        <v>0.20766355140186915</v>
      </c>
    </row>
    <row r="217" spans="1:14" x14ac:dyDescent="0.35">
      <c r="A217" t="s">
        <v>83</v>
      </c>
      <c r="B217">
        <v>3</v>
      </c>
      <c r="C217" t="s">
        <v>36</v>
      </c>
      <c r="D217" s="5">
        <v>43590</v>
      </c>
      <c r="E217" s="6">
        <v>0.64583333333333337</v>
      </c>
      <c r="F217" t="s">
        <v>34</v>
      </c>
      <c r="G217" t="s">
        <v>33</v>
      </c>
      <c r="H217" t="s">
        <v>37</v>
      </c>
      <c r="I217" s="7">
        <v>49662</v>
      </c>
      <c r="J217" t="s">
        <v>42</v>
      </c>
      <c r="K217">
        <v>2019</v>
      </c>
      <c r="L217">
        <f>B217+33</f>
        <v>36</v>
      </c>
      <c r="M217">
        <f>_xlfn.XLOOKUP(J217,Capacities!$A$2:$A$17,Capacities!$B$2:$B$17)</f>
        <v>51082</v>
      </c>
      <c r="N217">
        <f>I217/M217</f>
        <v>0.9722015582788458</v>
      </c>
    </row>
    <row r="218" spans="1:14" x14ac:dyDescent="0.35">
      <c r="A218" t="s">
        <v>83</v>
      </c>
      <c r="B218">
        <v>4</v>
      </c>
      <c r="C218" t="s">
        <v>79</v>
      </c>
      <c r="D218" s="5">
        <v>43595</v>
      </c>
      <c r="E218" s="6">
        <v>0.82291666666666663</v>
      </c>
      <c r="F218" t="s">
        <v>30</v>
      </c>
      <c r="G218" t="s">
        <v>45</v>
      </c>
      <c r="H218" t="s">
        <v>26</v>
      </c>
      <c r="I218" s="7">
        <v>14371</v>
      </c>
      <c r="J218" t="s">
        <v>48</v>
      </c>
      <c r="K218">
        <v>2019</v>
      </c>
      <c r="L218">
        <f>B218+33</f>
        <v>37</v>
      </c>
      <c r="M218">
        <f>_xlfn.XLOOKUP(J218,Capacities!$A$2:$A$17,Capacities!$B$2:$B$17)</f>
        <v>21412</v>
      </c>
      <c r="N218">
        <f>I218/M218</f>
        <v>0.67116570147580801</v>
      </c>
    </row>
    <row r="219" spans="1:14" x14ac:dyDescent="0.35">
      <c r="A219" t="s">
        <v>83</v>
      </c>
      <c r="B219">
        <v>4</v>
      </c>
      <c r="C219" t="s">
        <v>15</v>
      </c>
      <c r="D219" s="5">
        <v>43596</v>
      </c>
      <c r="E219" s="6">
        <v>0.625</v>
      </c>
      <c r="F219" t="s">
        <v>32</v>
      </c>
      <c r="G219" t="s">
        <v>33</v>
      </c>
      <c r="H219" t="s">
        <v>37</v>
      </c>
      <c r="I219" s="7">
        <v>7484</v>
      </c>
      <c r="J219" t="s">
        <v>86</v>
      </c>
      <c r="K219">
        <v>2019</v>
      </c>
      <c r="L219">
        <f>B219+33</f>
        <v>37</v>
      </c>
      <c r="M219">
        <f>_xlfn.XLOOKUP(J219,Capacities!$A$2:$A$17,Capacities!$B$2:$B$17)</f>
        <v>15003</v>
      </c>
      <c r="N219">
        <f>I219/M219</f>
        <v>0.49883356662000933</v>
      </c>
    </row>
    <row r="220" spans="1:14" x14ac:dyDescent="0.35">
      <c r="A220" t="s">
        <v>84</v>
      </c>
      <c r="B220">
        <v>4</v>
      </c>
      <c r="C220" t="s">
        <v>15</v>
      </c>
      <c r="D220" s="5">
        <v>43596</v>
      </c>
      <c r="E220" s="6">
        <v>0.625</v>
      </c>
      <c r="F220" t="s">
        <v>28</v>
      </c>
      <c r="G220" t="s">
        <v>52</v>
      </c>
      <c r="H220" t="s">
        <v>20</v>
      </c>
      <c r="I220" s="7">
        <v>1374</v>
      </c>
      <c r="J220" t="s">
        <v>31</v>
      </c>
      <c r="K220">
        <v>2019</v>
      </c>
      <c r="L220">
        <f>B220+33</f>
        <v>37</v>
      </c>
      <c r="M220">
        <f>_xlfn.XLOOKUP(J220,Capacities!$A$2:$A$17,Capacities!$B$2:$B$17)</f>
        <v>9672</v>
      </c>
      <c r="N220">
        <f>I220/M220</f>
        <v>0.14205955334987594</v>
      </c>
    </row>
    <row r="221" spans="1:14" x14ac:dyDescent="0.35">
      <c r="A221" t="s">
        <v>84</v>
      </c>
      <c r="B221">
        <v>4</v>
      </c>
      <c r="C221" t="s">
        <v>15</v>
      </c>
      <c r="D221" s="5">
        <v>43596</v>
      </c>
      <c r="E221" s="6">
        <v>0.625</v>
      </c>
      <c r="F221" t="s">
        <v>24</v>
      </c>
      <c r="G221" t="s">
        <v>43</v>
      </c>
      <c r="H221" t="s">
        <v>22</v>
      </c>
      <c r="I221" s="7">
        <v>3051</v>
      </c>
      <c r="J221" t="s">
        <v>27</v>
      </c>
      <c r="K221">
        <v>2019</v>
      </c>
      <c r="L221">
        <f>B221+33</f>
        <v>37</v>
      </c>
      <c r="M221">
        <f>_xlfn.XLOOKUP(J221,Capacities!$A$2:$A$17,Capacities!$B$2:$B$17)</f>
        <v>10700</v>
      </c>
      <c r="N221">
        <f>I221/M221</f>
        <v>0.28514018691588783</v>
      </c>
    </row>
    <row r="222" spans="1:14" x14ac:dyDescent="0.35">
      <c r="A222" t="s">
        <v>83</v>
      </c>
      <c r="B222">
        <v>4</v>
      </c>
      <c r="C222" t="s">
        <v>36</v>
      </c>
      <c r="D222" s="5">
        <v>43597</v>
      </c>
      <c r="E222" s="6">
        <v>0.5</v>
      </c>
      <c r="F222" t="s">
        <v>34</v>
      </c>
      <c r="G222" t="s">
        <v>43</v>
      </c>
      <c r="H222" t="s">
        <v>16</v>
      </c>
      <c r="I222" s="7">
        <v>49844</v>
      </c>
      <c r="J222" t="s">
        <v>42</v>
      </c>
      <c r="K222">
        <v>2019</v>
      </c>
      <c r="L222">
        <f>B222+33</f>
        <v>37</v>
      </c>
      <c r="M222">
        <f>_xlfn.XLOOKUP(J222,Capacities!$A$2:$A$17,Capacities!$B$2:$B$17)</f>
        <v>51082</v>
      </c>
      <c r="N222">
        <f>I222/M222</f>
        <v>0.97576445714733173</v>
      </c>
    </row>
    <row r="223" spans="1:14" x14ac:dyDescent="0.35">
      <c r="A223" t="s">
        <v>84</v>
      </c>
      <c r="B223">
        <v>4</v>
      </c>
      <c r="C223" t="s">
        <v>82</v>
      </c>
      <c r="D223" s="5">
        <v>43598</v>
      </c>
      <c r="E223" s="6">
        <v>0.82291666666666663</v>
      </c>
      <c r="F223" t="s">
        <v>39</v>
      </c>
      <c r="G223" t="s">
        <v>43</v>
      </c>
      <c r="H223" t="s">
        <v>87</v>
      </c>
      <c r="I223" s="7">
        <v>6421</v>
      </c>
      <c r="J223" t="s">
        <v>46</v>
      </c>
      <c r="K223">
        <v>2019</v>
      </c>
      <c r="L223">
        <f>B223+33</f>
        <v>37</v>
      </c>
      <c r="M223">
        <f>_xlfn.XLOOKUP(J223,Capacities!$A$2:$A$17,Capacities!$B$2:$B$17)</f>
        <v>8006</v>
      </c>
      <c r="N223">
        <f>I223/M223</f>
        <v>0.80202348238820886</v>
      </c>
    </row>
    <row r="224" spans="1:14" x14ac:dyDescent="0.35">
      <c r="A224" t="s">
        <v>84</v>
      </c>
      <c r="B224">
        <v>5</v>
      </c>
      <c r="C224" t="s">
        <v>15</v>
      </c>
      <c r="D224" s="5">
        <v>43603</v>
      </c>
      <c r="E224" s="6">
        <v>0.52083333333333337</v>
      </c>
      <c r="F224" t="s">
        <v>20</v>
      </c>
      <c r="G224" t="s">
        <v>38</v>
      </c>
      <c r="H224" t="s">
        <v>39</v>
      </c>
      <c r="I224" s="7">
        <v>5595</v>
      </c>
      <c r="J224" t="s">
        <v>23</v>
      </c>
      <c r="K224">
        <v>2019</v>
      </c>
      <c r="L224">
        <f>B224+33</f>
        <v>38</v>
      </c>
      <c r="M224">
        <f>_xlfn.XLOOKUP(J224,Capacities!$A$2:$A$17,Capacities!$B$2:$B$17)</f>
        <v>11850</v>
      </c>
      <c r="N224">
        <f>I224/M224</f>
        <v>0.47215189873417723</v>
      </c>
    </row>
    <row r="225" spans="1:14" x14ac:dyDescent="0.35">
      <c r="A225" t="s">
        <v>84</v>
      </c>
      <c r="B225">
        <v>5</v>
      </c>
      <c r="C225" t="s">
        <v>15</v>
      </c>
      <c r="D225" s="5">
        <v>43603</v>
      </c>
      <c r="E225" s="6">
        <v>0.52083333333333337</v>
      </c>
      <c r="F225" t="s">
        <v>87</v>
      </c>
      <c r="G225" t="s">
        <v>43</v>
      </c>
      <c r="H225" t="s">
        <v>24</v>
      </c>
      <c r="I225" s="7">
        <v>2553</v>
      </c>
      <c r="J225" t="s">
        <v>88</v>
      </c>
      <c r="K225">
        <v>2019</v>
      </c>
      <c r="L225">
        <f>B225+33</f>
        <v>38</v>
      </c>
      <c r="M225">
        <f>_xlfn.XLOOKUP(J225,Capacities!$A$2:$A$17,Capacities!$B$2:$B$17)</f>
        <v>6007</v>
      </c>
      <c r="N225">
        <f>I225/M225</f>
        <v>0.42500416181122025</v>
      </c>
    </row>
    <row r="226" spans="1:14" x14ac:dyDescent="0.35">
      <c r="A226" t="s">
        <v>84</v>
      </c>
      <c r="B226">
        <v>5</v>
      </c>
      <c r="C226" t="s">
        <v>15</v>
      </c>
      <c r="D226" s="5">
        <v>43603</v>
      </c>
      <c r="E226" s="6">
        <v>0.52083333333333337</v>
      </c>
      <c r="F226" t="s">
        <v>22</v>
      </c>
      <c r="G226" t="s">
        <v>65</v>
      </c>
      <c r="H226" t="s">
        <v>28</v>
      </c>
      <c r="I226" s="7">
        <v>5794</v>
      </c>
      <c r="J226" t="s">
        <v>49</v>
      </c>
      <c r="K226">
        <v>2019</v>
      </c>
      <c r="L226">
        <f>B226+33</f>
        <v>38</v>
      </c>
      <c r="M226">
        <f>_xlfn.XLOOKUP(J226,Capacities!$A$2:$A$17,Capacities!$B$2:$B$17)</f>
        <v>13750</v>
      </c>
      <c r="N226">
        <f>I226/M226</f>
        <v>0.42138181818181819</v>
      </c>
    </row>
    <row r="227" spans="1:14" x14ac:dyDescent="0.35">
      <c r="A227" t="s">
        <v>83</v>
      </c>
      <c r="B227">
        <v>5</v>
      </c>
      <c r="C227" t="s">
        <v>36</v>
      </c>
      <c r="D227" s="5">
        <v>43604</v>
      </c>
      <c r="E227" s="6">
        <v>0.625</v>
      </c>
      <c r="F227" t="s">
        <v>16</v>
      </c>
      <c r="G227" t="s">
        <v>45</v>
      </c>
      <c r="H227" t="s">
        <v>26</v>
      </c>
      <c r="I227" s="7">
        <v>55000</v>
      </c>
      <c r="J227" t="s">
        <v>19</v>
      </c>
      <c r="K227">
        <v>2019</v>
      </c>
      <c r="L227">
        <f>B227+33</f>
        <v>38</v>
      </c>
      <c r="M227">
        <f>_xlfn.XLOOKUP(J227,Capacities!$A$2:$A$17,Capacities!$B$2:$B$17)</f>
        <v>60500</v>
      </c>
      <c r="N227">
        <f>I227/M227</f>
        <v>0.90909090909090906</v>
      </c>
    </row>
    <row r="228" spans="1:14" x14ac:dyDescent="0.35">
      <c r="A228" t="s">
        <v>83</v>
      </c>
      <c r="B228">
        <v>5</v>
      </c>
      <c r="C228" t="s">
        <v>36</v>
      </c>
      <c r="D228" s="5">
        <v>43604</v>
      </c>
      <c r="E228" s="6">
        <v>0.625</v>
      </c>
      <c r="F228" t="s">
        <v>37</v>
      </c>
      <c r="G228" t="s">
        <v>55</v>
      </c>
      <c r="H228" t="s">
        <v>30</v>
      </c>
      <c r="I228" s="7">
        <v>18631</v>
      </c>
      <c r="J228" t="s">
        <v>40</v>
      </c>
      <c r="K228">
        <v>2019</v>
      </c>
      <c r="L228">
        <f>B228+33</f>
        <v>38</v>
      </c>
      <c r="M228">
        <f>_xlfn.XLOOKUP(J228,Capacities!$A$2:$A$17,Capacities!$B$2:$B$17)</f>
        <v>20250</v>
      </c>
      <c r="N228">
        <f>I228/M228</f>
        <v>0.92004938271604941</v>
      </c>
    </row>
    <row r="229" spans="1:14" x14ac:dyDescent="0.35">
      <c r="A229" t="s">
        <v>83</v>
      </c>
      <c r="B229">
        <v>5</v>
      </c>
      <c r="C229" t="s">
        <v>36</v>
      </c>
      <c r="D229" s="5">
        <v>43604</v>
      </c>
      <c r="E229" s="6">
        <v>0.625</v>
      </c>
      <c r="F229" t="s">
        <v>32</v>
      </c>
      <c r="G229" t="s">
        <v>45</v>
      </c>
      <c r="H229" t="s">
        <v>34</v>
      </c>
      <c r="I229" s="7">
        <v>12248</v>
      </c>
      <c r="J229" t="s">
        <v>86</v>
      </c>
      <c r="K229">
        <v>2019</v>
      </c>
      <c r="L229">
        <f>B229+33</f>
        <v>38</v>
      </c>
      <c r="M229">
        <f>_xlfn.XLOOKUP(J229,Capacities!$A$2:$A$17,Capacities!$B$2:$B$17)</f>
        <v>15003</v>
      </c>
      <c r="N229">
        <f>I229/M229</f>
        <v>0.816370059321469</v>
      </c>
    </row>
  </sheetData>
  <sortState xmlns:xlrd2="http://schemas.microsoft.com/office/spreadsheetml/2017/richdata2" ref="A2:N229">
    <sortCondition ref="L2:L229"/>
    <sortCondition ref="D2:D229"/>
    <sortCondition ref="E2:E229"/>
    <sortCondition ref="F2:F22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2A33-D451-45BF-B2F7-5767961660FA}">
  <dimension ref="A1:B17"/>
  <sheetViews>
    <sheetView workbookViewId="0">
      <selection activeCell="B17" sqref="B17"/>
    </sheetView>
  </sheetViews>
  <sheetFormatPr defaultRowHeight="14.5" x14ac:dyDescent="0.35"/>
  <cols>
    <col min="1" max="1" width="24.08984375" bestFit="1" customWidth="1"/>
    <col min="2" max="2" width="8" bestFit="1" customWidth="1"/>
  </cols>
  <sheetData>
    <row r="1" spans="1:2" x14ac:dyDescent="0.35">
      <c r="A1" s="1" t="s">
        <v>9</v>
      </c>
      <c r="B1" s="1" t="s">
        <v>12</v>
      </c>
    </row>
    <row r="2" spans="1:2" x14ac:dyDescent="0.35">
      <c r="A2" s="1" t="s">
        <v>19</v>
      </c>
      <c r="B2" s="1">
        <v>60500</v>
      </c>
    </row>
    <row r="3" spans="1:2" x14ac:dyDescent="0.35">
      <c r="A3" s="1" t="s">
        <v>23</v>
      </c>
      <c r="B3" s="1">
        <v>11850</v>
      </c>
    </row>
    <row r="4" spans="1:2" x14ac:dyDescent="0.35">
      <c r="A4" s="1" t="s">
        <v>31</v>
      </c>
      <c r="B4" s="1">
        <v>9672</v>
      </c>
    </row>
    <row r="5" spans="1:2" x14ac:dyDescent="0.35">
      <c r="A5" s="1" t="s">
        <v>27</v>
      </c>
      <c r="B5" s="1">
        <v>10700</v>
      </c>
    </row>
    <row r="6" spans="1:2" x14ac:dyDescent="0.35">
      <c r="A6" s="1" t="s">
        <v>35</v>
      </c>
      <c r="B6" s="1">
        <v>18128</v>
      </c>
    </row>
    <row r="7" spans="1:2" x14ac:dyDescent="0.35">
      <c r="A7" s="1" t="s">
        <v>40</v>
      </c>
      <c r="B7" s="1">
        <v>20250</v>
      </c>
    </row>
    <row r="8" spans="1:2" x14ac:dyDescent="0.35">
      <c r="A8" s="1" t="s">
        <v>42</v>
      </c>
      <c r="B8" s="1">
        <v>51082</v>
      </c>
    </row>
    <row r="9" spans="1:2" x14ac:dyDescent="0.35">
      <c r="A9" s="1" t="s">
        <v>44</v>
      </c>
      <c r="B9" s="1">
        <v>6541</v>
      </c>
    </row>
    <row r="10" spans="1:2" x14ac:dyDescent="0.35">
      <c r="A10" s="1" t="s">
        <v>46</v>
      </c>
      <c r="B10" s="1">
        <v>8006</v>
      </c>
    </row>
    <row r="11" spans="1:2" x14ac:dyDescent="0.35">
      <c r="A11" s="1" t="s">
        <v>48</v>
      </c>
      <c r="B11" s="1">
        <v>21412</v>
      </c>
    </row>
    <row r="12" spans="1:2" x14ac:dyDescent="0.35">
      <c r="A12" s="1" t="s">
        <v>50</v>
      </c>
      <c r="B12" s="1">
        <v>19852</v>
      </c>
    </row>
    <row r="13" spans="1:2" x14ac:dyDescent="0.35">
      <c r="A13" s="1" t="s">
        <v>49</v>
      </c>
      <c r="B13" s="1">
        <v>13750</v>
      </c>
    </row>
    <row r="14" spans="1:2" x14ac:dyDescent="0.35">
      <c r="A14" t="s">
        <v>76</v>
      </c>
      <c r="B14" s="1">
        <v>14223</v>
      </c>
    </row>
    <row r="15" spans="1:2" x14ac:dyDescent="0.35">
      <c r="A15" t="s">
        <v>85</v>
      </c>
      <c r="B15" s="1">
        <v>8006</v>
      </c>
    </row>
    <row r="16" spans="1:2" x14ac:dyDescent="0.35">
      <c r="A16" s="1" t="s">
        <v>86</v>
      </c>
      <c r="B16" s="7">
        <v>15003</v>
      </c>
    </row>
    <row r="17" spans="1:2" x14ac:dyDescent="0.35">
      <c r="A17" t="s">
        <v>88</v>
      </c>
      <c r="B17" s="1">
        <v>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Capacities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Hargreaves</dc:creator>
  <cp:lastModifiedBy>Jessica Hargreaves</cp:lastModifiedBy>
  <dcterms:created xsi:type="dcterms:W3CDTF">2024-08-26T14:17:01Z</dcterms:created>
  <dcterms:modified xsi:type="dcterms:W3CDTF">2024-12-23T16:15:03Z</dcterms:modified>
</cp:coreProperties>
</file>